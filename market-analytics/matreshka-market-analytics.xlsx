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пользоваться" sheetId="1" state="visible" r:id="rId1"/>
    <sheet name="Цены конкурентов" sheetId="2" state="visible" r:id="rId2"/>
    <sheet name="Спрос (ключи)" sheetId="3" state="visible" r:id="rId3"/>
    <sheet name="Запахи (отзывы)" sheetId="4" state="visible" r:id="rId4"/>
    <sheet name="Сводка — разрывы" sheetId="5" state="visible" r:id="rId5"/>
    <sheet name="Тренды — бриф" sheetId="6" state="visible" r:id="rId6"/>
  </sheets>
  <definedNames>
    <definedName name="_xlnm._FilterDatabase" localSheetId="1" hidden="1">'Цены конкурентов'!$A$1:$P$251</definedName>
    <definedName name="_xlnm._FilterDatabase" localSheetId="2" hidden="1">'Спрос (ключи)'!$A$1:$F$39</definedName>
    <definedName name="_xlnm._FilterDatabase" localSheetId="3" hidden="1">'Запахи (отзывы)'!$A$1:$H$13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A1B22"/>
      <sz val="15"/>
    </font>
    <font>
      <i val="1"/>
      <color rgb="002A1A14"/>
      <sz val="10"/>
    </font>
    <font>
      <b val="1"/>
      <color rgb="00A8262F"/>
      <sz val="11"/>
    </font>
    <font>
      <b val="1"/>
      <color rgb="00FFFFFF"/>
      <sz val="11"/>
    </font>
    <font>
      <b val="1"/>
      <color rgb="007A1B22"/>
      <sz val="12"/>
    </font>
    <font>
      <color rgb="002A1A14"/>
      <sz val="9"/>
    </font>
  </fonts>
  <fills count="4">
    <fill>
      <patternFill/>
    </fill>
    <fill>
      <patternFill patternType="gray125"/>
    </fill>
    <fill>
      <patternFill patternType="solid">
        <fgColor rgb="007A1B22"/>
      </patternFill>
    </fill>
    <fill>
      <patternFill patternType="solid">
        <fgColor rgb="00F1E2C9"/>
      </patternFill>
    </fill>
  </fills>
  <borders count="2">
    <border>
      <left/>
      <right/>
      <top/>
      <bottom/>
      <diagonal/>
    </border>
    <border>
      <left style="thin">
        <color rgb="00E6D9C2"/>
      </left>
      <right style="thin">
        <color rgb="00E6D9C2"/>
      </right>
      <top style="thin">
        <color rgb="00E6D9C2"/>
      </top>
      <bottom style="thin">
        <color rgb="00E6D9C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MATRЁSHKA · Аналитика рынка бытовой химии</t>
        </is>
      </c>
    </row>
    <row r="2">
      <c r="A2" s="2" t="inlineStr">
        <is>
          <t>Шаблон-дашборд. Обновлять раз в месяц. Источник цен — выгрузка скриптом / кабинет селлера / ручная сверка.</t>
        </is>
      </c>
    </row>
    <row r="4" ht="42" customHeight="1">
      <c r="A4" s="3" t="inlineStr">
        <is>
          <t>1. Цены конкурентов</t>
        </is>
      </c>
      <c r="B4" s="4" t="inlineStr">
        <is>
          <t>Вставляйте сюда позиции конкурентов и свои. ₽/литр и ₽/стирка считаются сами. Заполняйте «Категория», «Формат», «Запах», «Эко» — по ним строится сводка.</t>
        </is>
      </c>
    </row>
    <row r="5" ht="42" customHeight="1">
      <c r="A5" s="3" t="inlineStr">
        <is>
          <t>2. Спрос (ключи)</t>
        </is>
      </c>
      <c r="B5" s="4" t="inlineStr">
        <is>
          <t>Список поисковых запросов. Частотность брать из Яндекс.Wordstat (wordstat.yandex.ru), динамику — из Google Trends. Это термометр спроса по форматам/запахам/эко.</t>
        </is>
      </c>
    </row>
    <row r="6" ht="42" customHeight="1">
      <c r="A6" s="3" t="inlineStr">
        <is>
          <t>3. Запахи (отзывы)</t>
        </is>
      </c>
      <c r="B6" s="4" t="inlineStr">
        <is>
          <t>Трекер ароматов: сколько раз хвалят/ругают каждый запах в отзывах. «Индекс симпатии» считается сам. Питает ТЗ на отдушки и нейминг.</t>
        </is>
      </c>
    </row>
    <row r="7" ht="42" customHeight="1">
      <c r="A7" s="3" t="inlineStr">
        <is>
          <t>4. Сводка — разрывы</t>
        </is>
      </c>
      <c r="B7" s="4" t="inlineStr">
        <is>
          <t>Главный лист. Спрос × число конкурентов × средняя цена → ищем ниши: высокий спрос + мало предложений + запас по цене. Score и зазор считаются формулами.</t>
        </is>
      </c>
    </row>
    <row r="8" ht="42" customHeight="1">
      <c r="A8" s="3" t="inlineStr">
        <is>
          <t>5. Тренды — бриф</t>
        </is>
      </c>
      <c r="B8" s="4" t="inlineStr">
        <is>
          <t>Краткая выжимка из отраслевых источников (2025–2026) со ссылками. Обновлять по мере выхода новых обзоров.</t>
        </is>
      </c>
    </row>
    <row r="9" ht="42" customHeight="1">
      <c r="A9" s="3" t="inlineStr">
        <is>
          <t>Откуда брать данные</t>
        </is>
      </c>
      <c r="B9" s="4" t="inlineStr">
        <is>
          <t>WB — открытый JSON-API (скрипт wb_scraper.py, запускать со своего IP). Ozon/Я.Маркет/Мегамаркет — кабинет селлера или платный сервис (MPSTATS, Moneyplace, MarketGuru). Офлайн — фотофиксация полки.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40" customWidth="1" min="4" max="4"/>
    <col width="9" customWidth="1" min="5" max="5"/>
    <col width="12" customWidth="1" min="6" max="6"/>
    <col width="10" customWidth="1" min="7" max="7"/>
    <col width="9" customWidth="1" min="8" max="8"/>
    <col width="10" customWidth="1" min="9" max="9"/>
    <col width="9" customWidth="1" min="10" max="10"/>
    <col width="9" customWidth="1" min="11" max="11"/>
    <col width="18" customWidth="1" min="12" max="12"/>
    <col width="14" customWidth="1" min="13" max="13"/>
    <col width="11" customWidth="1" min="14" max="14"/>
    <col width="28" customWidth="1" min="15" max="15"/>
    <col width="12" customWidth="1" min="16" max="16"/>
  </cols>
  <sheetData>
    <row r="1" ht="30" customHeight="1">
      <c r="A1" s="5" t="inlineStr">
        <is>
          <t>Площадка</t>
        </is>
      </c>
      <c r="B1" s="5" t="inlineStr">
        <is>
          <t>Категория</t>
        </is>
      </c>
      <c r="C1" s="5" t="inlineStr">
        <is>
          <t>Бренд</t>
        </is>
      </c>
      <c r="D1" s="5" t="inlineStr">
        <is>
          <t>Наименование (SKU)</t>
        </is>
      </c>
      <c r="E1" s="5" t="inlineStr">
        <is>
          <t>Объём, л</t>
        </is>
      </c>
      <c r="F1" s="5" t="inlineStr">
        <is>
          <t>Кол-во стирок/порций</t>
        </is>
      </c>
      <c r="G1" s="5" t="inlineStr">
        <is>
          <t>Цена, ₽</t>
        </is>
      </c>
      <c r="H1" s="5" t="inlineStr">
        <is>
          <t>₽/литр</t>
        </is>
      </c>
      <c r="I1" s="5" t="inlineStr">
        <is>
          <t>₽/стирка</t>
        </is>
      </c>
      <c r="J1" s="5" t="inlineStr">
        <is>
          <t>Рейтинг</t>
        </is>
      </c>
      <c r="K1" s="5" t="inlineStr">
        <is>
          <t>Отзывов</t>
        </is>
      </c>
      <c r="L1" s="5" t="inlineStr">
        <is>
          <t>Запах/аромат</t>
        </is>
      </c>
      <c r="M1" s="5" t="inlineStr">
        <is>
          <t>Формат</t>
        </is>
      </c>
      <c r="N1" s="5" t="inlineStr">
        <is>
          <t>Эко (да/нет)</t>
        </is>
      </c>
      <c r="O1" s="5" t="inlineStr">
        <is>
          <t>Ссылка</t>
        </is>
      </c>
      <c r="P1" s="5" t="inlineStr">
        <is>
          <t>Дата сбора</t>
        </is>
      </c>
    </row>
    <row r="2">
      <c r="A2" s="6" t="inlineStr">
        <is>
          <t>WB</t>
        </is>
      </c>
      <c r="B2" s="6" t="inlineStr">
        <is>
          <t>Стирка</t>
        </is>
      </c>
      <c r="C2" s="6" t="inlineStr">
        <is>
          <t>MATRЁSHKA</t>
        </is>
      </c>
      <c r="D2" s="6" t="inlineStr">
        <is>
          <t>Гель для стирки Колор 1.3 л</t>
        </is>
      </c>
      <c r="E2" s="7" t="n">
        <v>1.3</v>
      </c>
      <c r="F2" s="7" t="n">
        <v>32</v>
      </c>
      <c r="G2" s="7" t="n">
        <v>349</v>
      </c>
      <c r="H2" s="7">
        <f>IF(OR(E2="",G2=""),"",ROUND(G2/E2,1))</f>
        <v/>
      </c>
      <c r="I2" s="7">
        <f>IF(OR(F2="",G2=""),"",ROUND(G2/F2,2))</f>
        <v/>
      </c>
      <c r="J2" s="7" t="n">
        <v>4.8</v>
      </c>
      <c r="K2" s="7" t="n">
        <v>210</v>
      </c>
      <c r="L2" s="6" t="inlineStr">
        <is>
          <t>без запаха</t>
        </is>
      </c>
      <c r="M2" s="6" t="inlineStr">
        <is>
          <t>гель</t>
        </is>
      </c>
      <c r="N2" s="6" t="inlineStr">
        <is>
          <t>да</t>
        </is>
      </c>
      <c r="O2" s="6" t="inlineStr"/>
      <c r="P2" s="6" t="inlineStr">
        <is>
          <t>2026-05-25</t>
        </is>
      </c>
    </row>
    <row r="3">
      <c r="A3" s="6" t="inlineStr">
        <is>
          <t>WB</t>
        </is>
      </c>
      <c r="B3" s="6" t="inlineStr">
        <is>
          <t>Стирка</t>
        </is>
      </c>
      <c r="C3" s="6" t="inlineStr">
        <is>
          <t>Конкурент-Х</t>
        </is>
      </c>
      <c r="D3" s="6" t="inlineStr">
        <is>
          <t>Гель для стирки 2 л</t>
        </is>
      </c>
      <c r="E3" s="7" t="n">
        <v>2</v>
      </c>
      <c r="F3" s="7" t="n">
        <v>40</v>
      </c>
      <c r="G3" s="7" t="n">
        <v>540</v>
      </c>
      <c r="H3" s="7">
        <f>IF(OR(E3="",G3=""),"",ROUND(G3/E3,1))</f>
        <v/>
      </c>
      <c r="I3" s="7">
        <f>IF(OR(F3="",G3=""),"",ROUND(G3/F3,2))</f>
        <v/>
      </c>
      <c r="J3" s="7" t="n">
        <v>4.7</v>
      </c>
      <c r="K3" s="7" t="n">
        <v>1500</v>
      </c>
      <c r="L3" s="6" t="inlineStr">
        <is>
          <t>лаванда</t>
        </is>
      </c>
      <c r="M3" s="6" t="inlineStr">
        <is>
          <t>гель</t>
        </is>
      </c>
      <c r="N3" s="6" t="inlineStr">
        <is>
          <t>нет</t>
        </is>
      </c>
      <c r="O3" s="6" t="inlineStr"/>
      <c r="P3" s="6" t="inlineStr">
        <is>
          <t>2026-05-25</t>
        </is>
      </c>
    </row>
    <row r="4">
      <c r="A4" s="6" t="inlineStr">
        <is>
          <t>Ozon</t>
        </is>
      </c>
      <c r="B4" s="6" t="inlineStr">
        <is>
          <t>Посуда</t>
        </is>
      </c>
      <c r="C4" s="6" t="inlineStr">
        <is>
          <t>MATRЁSHKA</t>
        </is>
      </c>
      <c r="D4" s="6" t="inlineStr">
        <is>
          <t>Средство для мытья посуды 0.5 л</t>
        </is>
      </c>
      <c r="E4" s="7" t="n">
        <v>0.5</v>
      </c>
      <c r="F4" s="7" t="n"/>
      <c r="G4" s="7" t="n">
        <v>129</v>
      </c>
      <c r="H4" s="7">
        <f>IF(OR(E4="",G4=""),"",ROUND(G4/E4,1))</f>
        <v/>
      </c>
      <c r="I4" s="7">
        <f>IF(OR(F4="",G4=""),"",ROUND(G4/F4,2))</f>
        <v/>
      </c>
      <c r="J4" s="7" t="n">
        <v>4.6</v>
      </c>
      <c r="K4" s="7" t="n">
        <v>80</v>
      </c>
      <c r="L4" s="6" t="inlineStr">
        <is>
          <t>лимон</t>
        </is>
      </c>
      <c r="M4" s="6" t="inlineStr">
        <is>
          <t>гель</t>
        </is>
      </c>
      <c r="N4" s="6" t="inlineStr">
        <is>
          <t>да</t>
        </is>
      </c>
      <c r="O4" s="6" t="inlineStr"/>
      <c r="P4" s="6" t="inlineStr">
        <is>
          <t>2026-05-25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9">
        <f>IF(OR(E5="",G5=""),"",ROUND(G5/E5,1))</f>
        <v/>
      </c>
      <c r="I5" s="9">
        <f>IF(OR(F5="",G5=""),"",ROUND(G5/F5,2))</f>
        <v/>
      </c>
      <c r="J5" s="8" t="n"/>
      <c r="K5" s="8" t="n"/>
      <c r="L5" s="8" t="n"/>
      <c r="M5" s="8" t="n"/>
      <c r="N5" s="8" t="n"/>
      <c r="O5" s="8" t="n"/>
      <c r="P5" s="8" t="n"/>
    </row>
    <row r="6">
      <c r="A6" s="8" t="n"/>
      <c r="B6" s="8" t="n"/>
      <c r="C6" s="8" t="n"/>
      <c r="D6" s="8" t="n"/>
      <c r="E6" s="8" t="n"/>
      <c r="F6" s="8" t="n"/>
      <c r="G6" s="8" t="n"/>
      <c r="H6" s="9">
        <f>IF(OR(E6="",G6=""),"",ROUND(G6/E6,1))</f>
        <v/>
      </c>
      <c r="I6" s="9">
        <f>IF(OR(F6="",G6=""),"",ROUND(G6/F6,2))</f>
        <v/>
      </c>
      <c r="J6" s="8" t="n"/>
      <c r="K6" s="8" t="n"/>
      <c r="L6" s="8" t="n"/>
      <c r="M6" s="8" t="n"/>
      <c r="N6" s="8" t="n"/>
      <c r="O6" s="8" t="n"/>
      <c r="P6" s="8" t="n"/>
    </row>
    <row r="7">
      <c r="A7" s="8" t="n"/>
      <c r="B7" s="8" t="n"/>
      <c r="C7" s="8" t="n"/>
      <c r="D7" s="8" t="n"/>
      <c r="E7" s="8" t="n"/>
      <c r="F7" s="8" t="n"/>
      <c r="G7" s="8" t="n"/>
      <c r="H7" s="9">
        <f>IF(OR(E7="",G7=""),"",ROUND(G7/E7,1))</f>
        <v/>
      </c>
      <c r="I7" s="9">
        <f>IF(OR(F7="",G7=""),"",ROUND(G7/F7,2))</f>
        <v/>
      </c>
      <c r="J7" s="8" t="n"/>
      <c r="K7" s="8" t="n"/>
      <c r="L7" s="8" t="n"/>
      <c r="M7" s="8" t="n"/>
      <c r="N7" s="8" t="n"/>
      <c r="O7" s="8" t="n"/>
      <c r="P7" s="8" t="n"/>
    </row>
    <row r="8">
      <c r="A8" s="8" t="n"/>
      <c r="B8" s="8" t="n"/>
      <c r="C8" s="8" t="n"/>
      <c r="D8" s="8" t="n"/>
      <c r="E8" s="8" t="n"/>
      <c r="F8" s="8" t="n"/>
      <c r="G8" s="8" t="n"/>
      <c r="H8" s="9">
        <f>IF(OR(E8="",G8=""),"",ROUND(G8/E8,1))</f>
        <v/>
      </c>
      <c r="I8" s="9">
        <f>IF(OR(F8="",G8=""),"",ROUND(G8/F8,2))</f>
        <v/>
      </c>
      <c r="J8" s="8" t="n"/>
      <c r="K8" s="8" t="n"/>
      <c r="L8" s="8" t="n"/>
      <c r="M8" s="8" t="n"/>
      <c r="N8" s="8" t="n"/>
      <c r="O8" s="8" t="n"/>
      <c r="P8" s="8" t="n"/>
    </row>
    <row r="9">
      <c r="A9" s="8" t="n"/>
      <c r="B9" s="8" t="n"/>
      <c r="C9" s="8" t="n"/>
      <c r="D9" s="8" t="n"/>
      <c r="E9" s="8" t="n"/>
      <c r="F9" s="8" t="n"/>
      <c r="G9" s="8" t="n"/>
      <c r="H9" s="9">
        <f>IF(OR(E9="",G9=""),"",ROUND(G9/E9,1))</f>
        <v/>
      </c>
      <c r="I9" s="9">
        <f>IF(OR(F9="",G9=""),"",ROUND(G9/F9,2))</f>
        <v/>
      </c>
      <c r="J9" s="8" t="n"/>
      <c r="K9" s="8" t="n"/>
      <c r="L9" s="8" t="n"/>
      <c r="M9" s="8" t="n"/>
      <c r="N9" s="8" t="n"/>
      <c r="O9" s="8" t="n"/>
      <c r="P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9">
        <f>IF(OR(E10="",G10=""),"",ROUND(G10/E10,1))</f>
        <v/>
      </c>
      <c r="I10" s="9">
        <f>IF(OR(F10="",G10=""),"",ROUND(G10/F10,2))</f>
        <v/>
      </c>
      <c r="J10" s="8" t="n"/>
      <c r="K10" s="8" t="n"/>
      <c r="L10" s="8" t="n"/>
      <c r="M10" s="8" t="n"/>
      <c r="N10" s="8" t="n"/>
      <c r="O10" s="8" t="n"/>
      <c r="P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9">
        <f>IF(OR(E11="",G11=""),"",ROUND(G11/E11,1))</f>
        <v/>
      </c>
      <c r="I11" s="9">
        <f>IF(OR(F11="",G11=""),"",ROUND(G11/F11,2))</f>
        <v/>
      </c>
      <c r="J11" s="8" t="n"/>
      <c r="K11" s="8" t="n"/>
      <c r="L11" s="8" t="n"/>
      <c r="M11" s="8" t="n"/>
      <c r="N11" s="8" t="n"/>
      <c r="O11" s="8" t="n"/>
      <c r="P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9">
        <f>IF(OR(E12="",G12=""),"",ROUND(G12/E12,1))</f>
        <v/>
      </c>
      <c r="I12" s="9">
        <f>IF(OR(F12="",G12=""),"",ROUND(G12/F12,2))</f>
        <v/>
      </c>
      <c r="J12" s="8" t="n"/>
      <c r="K12" s="8" t="n"/>
      <c r="L12" s="8" t="n"/>
      <c r="M12" s="8" t="n"/>
      <c r="N12" s="8" t="n"/>
      <c r="O12" s="8" t="n"/>
      <c r="P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9">
        <f>IF(OR(E13="",G13=""),"",ROUND(G13/E13,1))</f>
        <v/>
      </c>
      <c r="I13" s="9">
        <f>IF(OR(F13="",G13=""),"",ROUND(G13/F13,2))</f>
        <v/>
      </c>
      <c r="J13" s="8" t="n"/>
      <c r="K13" s="8" t="n"/>
      <c r="L13" s="8" t="n"/>
      <c r="M13" s="8" t="n"/>
      <c r="N13" s="8" t="n"/>
      <c r="O13" s="8" t="n"/>
      <c r="P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9">
        <f>IF(OR(E14="",G14=""),"",ROUND(G14/E14,1))</f>
        <v/>
      </c>
      <c r="I14" s="9">
        <f>IF(OR(F14="",G14=""),"",ROUND(G14/F14,2))</f>
        <v/>
      </c>
      <c r="J14" s="8" t="n"/>
      <c r="K14" s="8" t="n"/>
      <c r="L14" s="8" t="n"/>
      <c r="M14" s="8" t="n"/>
      <c r="N14" s="8" t="n"/>
      <c r="O14" s="8" t="n"/>
      <c r="P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9">
        <f>IF(OR(E15="",G15=""),"",ROUND(G15/E15,1))</f>
        <v/>
      </c>
      <c r="I15" s="9">
        <f>IF(OR(F15="",G15=""),"",ROUND(G15/F15,2))</f>
        <v/>
      </c>
      <c r="J15" s="8" t="n"/>
      <c r="K15" s="8" t="n"/>
      <c r="L15" s="8" t="n"/>
      <c r="M15" s="8" t="n"/>
      <c r="N15" s="8" t="n"/>
      <c r="O15" s="8" t="n"/>
      <c r="P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9">
        <f>IF(OR(E16="",G16=""),"",ROUND(G16/E16,1))</f>
        <v/>
      </c>
      <c r="I16" s="9">
        <f>IF(OR(F16="",G16=""),"",ROUND(G16/F16,2))</f>
        <v/>
      </c>
      <c r="J16" s="8" t="n"/>
      <c r="K16" s="8" t="n"/>
      <c r="L16" s="8" t="n"/>
      <c r="M16" s="8" t="n"/>
      <c r="N16" s="8" t="n"/>
      <c r="O16" s="8" t="n"/>
      <c r="P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9">
        <f>IF(OR(E17="",G17=""),"",ROUND(G17/E17,1))</f>
        <v/>
      </c>
      <c r="I17" s="9">
        <f>IF(OR(F17="",G17=""),"",ROUND(G17/F17,2))</f>
        <v/>
      </c>
      <c r="J17" s="8" t="n"/>
      <c r="K17" s="8" t="n"/>
      <c r="L17" s="8" t="n"/>
      <c r="M17" s="8" t="n"/>
      <c r="N17" s="8" t="n"/>
      <c r="O17" s="8" t="n"/>
      <c r="P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9">
        <f>IF(OR(E18="",G18=""),"",ROUND(G18/E18,1))</f>
        <v/>
      </c>
      <c r="I18" s="9">
        <f>IF(OR(F18="",G18=""),"",ROUND(G18/F18,2))</f>
        <v/>
      </c>
      <c r="J18" s="8" t="n"/>
      <c r="K18" s="8" t="n"/>
      <c r="L18" s="8" t="n"/>
      <c r="M18" s="8" t="n"/>
      <c r="N18" s="8" t="n"/>
      <c r="O18" s="8" t="n"/>
      <c r="P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9">
        <f>IF(OR(E19="",G19=""),"",ROUND(G19/E19,1))</f>
        <v/>
      </c>
      <c r="I19" s="9">
        <f>IF(OR(F19="",G19=""),"",ROUND(G19/F19,2))</f>
        <v/>
      </c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9">
        <f>IF(OR(E20="",G20=""),"",ROUND(G20/E20,1))</f>
        <v/>
      </c>
      <c r="I20" s="9">
        <f>IF(OR(F20="",G20=""),"",ROUND(G20/F20,2))</f>
        <v/>
      </c>
      <c r="J20" s="8" t="n"/>
      <c r="K20" s="8" t="n"/>
      <c r="L20" s="8" t="n"/>
      <c r="M20" s="8" t="n"/>
      <c r="N20" s="8" t="n"/>
      <c r="O20" s="8" t="n"/>
      <c r="P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9">
        <f>IF(OR(E21="",G21=""),"",ROUND(G21/E21,1))</f>
        <v/>
      </c>
      <c r="I21" s="9">
        <f>IF(OR(F21="",G21=""),"",ROUND(G21/F21,2))</f>
        <v/>
      </c>
      <c r="J21" s="8" t="n"/>
      <c r="K21" s="8" t="n"/>
      <c r="L21" s="8" t="n"/>
      <c r="M21" s="8" t="n"/>
      <c r="N21" s="8" t="n"/>
      <c r="O21" s="8" t="n"/>
      <c r="P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9">
        <f>IF(OR(E22="",G22=""),"",ROUND(G22/E22,1))</f>
        <v/>
      </c>
      <c r="I22" s="9">
        <f>IF(OR(F22="",G22=""),"",ROUND(G22/F22,2))</f>
        <v/>
      </c>
      <c r="J22" s="8" t="n"/>
      <c r="K22" s="8" t="n"/>
      <c r="L22" s="8" t="n"/>
      <c r="M22" s="8" t="n"/>
      <c r="N22" s="8" t="n"/>
      <c r="O22" s="8" t="n"/>
      <c r="P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9">
        <f>IF(OR(E23="",G23=""),"",ROUND(G23/E23,1))</f>
        <v/>
      </c>
      <c r="I23" s="9">
        <f>IF(OR(F23="",G23=""),"",ROUND(G23/F23,2))</f>
        <v/>
      </c>
      <c r="J23" s="8" t="n"/>
      <c r="K23" s="8" t="n"/>
      <c r="L23" s="8" t="n"/>
      <c r="M23" s="8" t="n"/>
      <c r="N23" s="8" t="n"/>
      <c r="O23" s="8" t="n"/>
      <c r="P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9">
        <f>IF(OR(E24="",G24=""),"",ROUND(G24/E24,1))</f>
        <v/>
      </c>
      <c r="I24" s="9">
        <f>IF(OR(F24="",G24=""),"",ROUND(G24/F24,2))</f>
        <v/>
      </c>
      <c r="J24" s="8" t="n"/>
      <c r="K24" s="8" t="n"/>
      <c r="L24" s="8" t="n"/>
      <c r="M24" s="8" t="n"/>
      <c r="N24" s="8" t="n"/>
      <c r="O24" s="8" t="n"/>
      <c r="P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9">
        <f>IF(OR(E25="",G25=""),"",ROUND(G25/E25,1))</f>
        <v/>
      </c>
      <c r="I25" s="9">
        <f>IF(OR(F25="",G25=""),"",ROUND(G25/F25,2))</f>
        <v/>
      </c>
      <c r="J25" s="8" t="n"/>
      <c r="K25" s="8" t="n"/>
      <c r="L25" s="8" t="n"/>
      <c r="M25" s="8" t="n"/>
      <c r="N25" s="8" t="n"/>
      <c r="O25" s="8" t="n"/>
      <c r="P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9">
        <f>IF(OR(E26="",G26=""),"",ROUND(G26/E26,1))</f>
        <v/>
      </c>
      <c r="I26" s="9">
        <f>IF(OR(F26="",G26=""),"",ROUND(G26/F26,2))</f>
        <v/>
      </c>
      <c r="J26" s="8" t="n"/>
      <c r="K26" s="8" t="n"/>
      <c r="L26" s="8" t="n"/>
      <c r="M26" s="8" t="n"/>
      <c r="N26" s="8" t="n"/>
      <c r="O26" s="8" t="n"/>
      <c r="P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9">
        <f>IF(OR(E27="",G27=""),"",ROUND(G27/E27,1))</f>
        <v/>
      </c>
      <c r="I27" s="9">
        <f>IF(OR(F27="",G27=""),"",ROUND(G27/F27,2))</f>
        <v/>
      </c>
      <c r="J27" s="8" t="n"/>
      <c r="K27" s="8" t="n"/>
      <c r="L27" s="8" t="n"/>
      <c r="M27" s="8" t="n"/>
      <c r="N27" s="8" t="n"/>
      <c r="O27" s="8" t="n"/>
      <c r="P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9">
        <f>IF(OR(E28="",G28=""),"",ROUND(G28/E28,1))</f>
        <v/>
      </c>
      <c r="I28" s="9">
        <f>IF(OR(F28="",G28=""),"",ROUND(G28/F28,2))</f>
        <v/>
      </c>
      <c r="J28" s="8" t="n"/>
      <c r="K28" s="8" t="n"/>
      <c r="L28" s="8" t="n"/>
      <c r="M28" s="8" t="n"/>
      <c r="N28" s="8" t="n"/>
      <c r="O28" s="8" t="n"/>
      <c r="P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9">
        <f>IF(OR(E29="",G29=""),"",ROUND(G29/E29,1))</f>
        <v/>
      </c>
      <c r="I29" s="9">
        <f>IF(OR(F29="",G29=""),"",ROUND(G29/F29,2))</f>
        <v/>
      </c>
      <c r="J29" s="8" t="n"/>
      <c r="K29" s="8" t="n"/>
      <c r="L29" s="8" t="n"/>
      <c r="M29" s="8" t="n"/>
      <c r="N29" s="8" t="n"/>
      <c r="O29" s="8" t="n"/>
      <c r="P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9">
        <f>IF(OR(E30="",G30=""),"",ROUND(G30/E30,1))</f>
        <v/>
      </c>
      <c r="I30" s="9">
        <f>IF(OR(F30="",G30=""),"",ROUND(G30/F30,2))</f>
        <v/>
      </c>
      <c r="J30" s="8" t="n"/>
      <c r="K30" s="8" t="n"/>
      <c r="L30" s="8" t="n"/>
      <c r="M30" s="8" t="n"/>
      <c r="N30" s="8" t="n"/>
      <c r="O30" s="8" t="n"/>
      <c r="P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9">
        <f>IF(OR(E31="",G31=""),"",ROUND(G31/E31,1))</f>
        <v/>
      </c>
      <c r="I31" s="9">
        <f>IF(OR(F31="",G31=""),"",ROUND(G31/F31,2))</f>
        <v/>
      </c>
      <c r="J31" s="8" t="n"/>
      <c r="K31" s="8" t="n"/>
      <c r="L31" s="8" t="n"/>
      <c r="M31" s="8" t="n"/>
      <c r="N31" s="8" t="n"/>
      <c r="O31" s="8" t="n"/>
      <c r="P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9">
        <f>IF(OR(E32="",G32=""),"",ROUND(G32/E32,1))</f>
        <v/>
      </c>
      <c r="I32" s="9">
        <f>IF(OR(F32="",G32=""),"",ROUND(G32/F32,2))</f>
        <v/>
      </c>
      <c r="J32" s="8" t="n"/>
      <c r="K32" s="8" t="n"/>
      <c r="L32" s="8" t="n"/>
      <c r="M32" s="8" t="n"/>
      <c r="N32" s="8" t="n"/>
      <c r="O32" s="8" t="n"/>
      <c r="P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9">
        <f>IF(OR(E33="",G33=""),"",ROUND(G33/E33,1))</f>
        <v/>
      </c>
      <c r="I33" s="9">
        <f>IF(OR(F33="",G33=""),"",ROUND(G33/F33,2))</f>
        <v/>
      </c>
      <c r="J33" s="8" t="n"/>
      <c r="K33" s="8" t="n"/>
      <c r="L33" s="8" t="n"/>
      <c r="M33" s="8" t="n"/>
      <c r="N33" s="8" t="n"/>
      <c r="O33" s="8" t="n"/>
      <c r="P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9">
        <f>IF(OR(E34="",G34=""),"",ROUND(G34/E34,1))</f>
        <v/>
      </c>
      <c r="I34" s="9">
        <f>IF(OR(F34="",G34=""),"",ROUND(G34/F34,2))</f>
        <v/>
      </c>
      <c r="J34" s="8" t="n"/>
      <c r="K34" s="8" t="n"/>
      <c r="L34" s="8" t="n"/>
      <c r="M34" s="8" t="n"/>
      <c r="N34" s="8" t="n"/>
      <c r="O34" s="8" t="n"/>
      <c r="P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9">
        <f>IF(OR(E35="",G35=""),"",ROUND(G35/E35,1))</f>
        <v/>
      </c>
      <c r="I35" s="9">
        <f>IF(OR(F35="",G35=""),"",ROUND(G35/F35,2))</f>
        <v/>
      </c>
      <c r="J35" s="8" t="n"/>
      <c r="K35" s="8" t="n"/>
      <c r="L35" s="8" t="n"/>
      <c r="M35" s="8" t="n"/>
      <c r="N35" s="8" t="n"/>
      <c r="O35" s="8" t="n"/>
      <c r="P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9">
        <f>IF(OR(E36="",G36=""),"",ROUND(G36/E36,1))</f>
        <v/>
      </c>
      <c r="I36" s="9">
        <f>IF(OR(F36="",G36=""),"",ROUND(G36/F36,2))</f>
        <v/>
      </c>
      <c r="J36" s="8" t="n"/>
      <c r="K36" s="8" t="n"/>
      <c r="L36" s="8" t="n"/>
      <c r="M36" s="8" t="n"/>
      <c r="N36" s="8" t="n"/>
      <c r="O36" s="8" t="n"/>
      <c r="P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9">
        <f>IF(OR(E37="",G37=""),"",ROUND(G37/E37,1))</f>
        <v/>
      </c>
      <c r="I37" s="9">
        <f>IF(OR(F37="",G37=""),"",ROUND(G37/F37,2))</f>
        <v/>
      </c>
      <c r="J37" s="8" t="n"/>
      <c r="K37" s="8" t="n"/>
      <c r="L37" s="8" t="n"/>
      <c r="M37" s="8" t="n"/>
      <c r="N37" s="8" t="n"/>
      <c r="O37" s="8" t="n"/>
      <c r="P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9">
        <f>IF(OR(E38="",G38=""),"",ROUND(G38/E38,1))</f>
        <v/>
      </c>
      <c r="I38" s="9">
        <f>IF(OR(F38="",G38=""),"",ROUND(G38/F38,2))</f>
        <v/>
      </c>
      <c r="J38" s="8" t="n"/>
      <c r="K38" s="8" t="n"/>
      <c r="L38" s="8" t="n"/>
      <c r="M38" s="8" t="n"/>
      <c r="N38" s="8" t="n"/>
      <c r="O38" s="8" t="n"/>
      <c r="P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9">
        <f>IF(OR(E39="",G39=""),"",ROUND(G39/E39,1))</f>
        <v/>
      </c>
      <c r="I39" s="9">
        <f>IF(OR(F39="",G39=""),"",ROUND(G39/F39,2))</f>
        <v/>
      </c>
      <c r="J39" s="8" t="n"/>
      <c r="K39" s="8" t="n"/>
      <c r="L39" s="8" t="n"/>
      <c r="M39" s="8" t="n"/>
      <c r="N39" s="8" t="n"/>
      <c r="O39" s="8" t="n"/>
      <c r="P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9">
        <f>IF(OR(E40="",G40=""),"",ROUND(G40/E40,1))</f>
        <v/>
      </c>
      <c r="I40" s="9">
        <f>IF(OR(F40="",G40=""),"",ROUND(G40/F40,2))</f>
        <v/>
      </c>
      <c r="J40" s="8" t="n"/>
      <c r="K40" s="8" t="n"/>
      <c r="L40" s="8" t="n"/>
      <c r="M40" s="8" t="n"/>
      <c r="N40" s="8" t="n"/>
      <c r="O40" s="8" t="n"/>
      <c r="P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9">
        <f>IF(OR(E41="",G41=""),"",ROUND(G41/E41,1))</f>
        <v/>
      </c>
      <c r="I41" s="9">
        <f>IF(OR(F41="",G41=""),"",ROUND(G41/F41,2))</f>
        <v/>
      </c>
      <c r="J41" s="8" t="n"/>
      <c r="K41" s="8" t="n"/>
      <c r="L41" s="8" t="n"/>
      <c r="M41" s="8" t="n"/>
      <c r="N41" s="8" t="n"/>
      <c r="O41" s="8" t="n"/>
      <c r="P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9">
        <f>IF(OR(E42="",G42=""),"",ROUND(G42/E42,1))</f>
        <v/>
      </c>
      <c r="I42" s="9">
        <f>IF(OR(F42="",G42=""),"",ROUND(G42/F42,2))</f>
        <v/>
      </c>
      <c r="J42" s="8" t="n"/>
      <c r="K42" s="8" t="n"/>
      <c r="L42" s="8" t="n"/>
      <c r="M42" s="8" t="n"/>
      <c r="N42" s="8" t="n"/>
      <c r="O42" s="8" t="n"/>
      <c r="P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9">
        <f>IF(OR(E43="",G43=""),"",ROUND(G43/E43,1))</f>
        <v/>
      </c>
      <c r="I43" s="9">
        <f>IF(OR(F43="",G43=""),"",ROUND(G43/F43,2))</f>
        <v/>
      </c>
      <c r="J43" s="8" t="n"/>
      <c r="K43" s="8" t="n"/>
      <c r="L43" s="8" t="n"/>
      <c r="M43" s="8" t="n"/>
      <c r="N43" s="8" t="n"/>
      <c r="O43" s="8" t="n"/>
      <c r="P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9">
        <f>IF(OR(E44="",G44=""),"",ROUND(G44/E44,1))</f>
        <v/>
      </c>
      <c r="I44" s="9">
        <f>IF(OR(F44="",G44=""),"",ROUND(G44/F44,2))</f>
        <v/>
      </c>
      <c r="J44" s="8" t="n"/>
      <c r="K44" s="8" t="n"/>
      <c r="L44" s="8" t="n"/>
      <c r="M44" s="8" t="n"/>
      <c r="N44" s="8" t="n"/>
      <c r="O44" s="8" t="n"/>
      <c r="P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9">
        <f>IF(OR(E45="",G45=""),"",ROUND(G45/E45,1))</f>
        <v/>
      </c>
      <c r="I45" s="9">
        <f>IF(OR(F45="",G45=""),"",ROUND(G45/F45,2))</f>
        <v/>
      </c>
      <c r="J45" s="8" t="n"/>
      <c r="K45" s="8" t="n"/>
      <c r="L45" s="8" t="n"/>
      <c r="M45" s="8" t="n"/>
      <c r="N45" s="8" t="n"/>
      <c r="O45" s="8" t="n"/>
      <c r="P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9">
        <f>IF(OR(E46="",G46=""),"",ROUND(G46/E46,1))</f>
        <v/>
      </c>
      <c r="I46" s="9">
        <f>IF(OR(F46="",G46=""),"",ROUND(G46/F46,2))</f>
        <v/>
      </c>
      <c r="J46" s="8" t="n"/>
      <c r="K46" s="8" t="n"/>
      <c r="L46" s="8" t="n"/>
      <c r="M46" s="8" t="n"/>
      <c r="N46" s="8" t="n"/>
      <c r="O46" s="8" t="n"/>
      <c r="P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9">
        <f>IF(OR(E47="",G47=""),"",ROUND(G47/E47,1))</f>
        <v/>
      </c>
      <c r="I47" s="9">
        <f>IF(OR(F47="",G47=""),"",ROUND(G47/F47,2))</f>
        <v/>
      </c>
      <c r="J47" s="8" t="n"/>
      <c r="K47" s="8" t="n"/>
      <c r="L47" s="8" t="n"/>
      <c r="M47" s="8" t="n"/>
      <c r="N47" s="8" t="n"/>
      <c r="O47" s="8" t="n"/>
      <c r="P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9">
        <f>IF(OR(E48="",G48=""),"",ROUND(G48/E48,1))</f>
        <v/>
      </c>
      <c r="I48" s="9">
        <f>IF(OR(F48="",G48=""),"",ROUND(G48/F48,2))</f>
        <v/>
      </c>
      <c r="J48" s="8" t="n"/>
      <c r="K48" s="8" t="n"/>
      <c r="L48" s="8" t="n"/>
      <c r="M48" s="8" t="n"/>
      <c r="N48" s="8" t="n"/>
      <c r="O48" s="8" t="n"/>
      <c r="P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9">
        <f>IF(OR(E49="",G49=""),"",ROUND(G49/E49,1))</f>
        <v/>
      </c>
      <c r="I49" s="9">
        <f>IF(OR(F49="",G49=""),"",ROUND(G49/F49,2))</f>
        <v/>
      </c>
      <c r="J49" s="8" t="n"/>
      <c r="K49" s="8" t="n"/>
      <c r="L49" s="8" t="n"/>
      <c r="M49" s="8" t="n"/>
      <c r="N49" s="8" t="n"/>
      <c r="O49" s="8" t="n"/>
      <c r="P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9">
        <f>IF(OR(E50="",G50=""),"",ROUND(G50/E50,1))</f>
        <v/>
      </c>
      <c r="I50" s="9">
        <f>IF(OR(F50="",G50=""),"",ROUND(G50/F50,2))</f>
        <v/>
      </c>
      <c r="J50" s="8" t="n"/>
      <c r="K50" s="8" t="n"/>
      <c r="L50" s="8" t="n"/>
      <c r="M50" s="8" t="n"/>
      <c r="N50" s="8" t="n"/>
      <c r="O50" s="8" t="n"/>
      <c r="P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9">
        <f>IF(OR(E51="",G51=""),"",ROUND(G51/E51,1))</f>
        <v/>
      </c>
      <c r="I51" s="9">
        <f>IF(OR(F51="",G51=""),"",ROUND(G51/F51,2))</f>
        <v/>
      </c>
      <c r="J51" s="8" t="n"/>
      <c r="K51" s="8" t="n"/>
      <c r="L51" s="8" t="n"/>
      <c r="M51" s="8" t="n"/>
      <c r="N51" s="8" t="n"/>
      <c r="O51" s="8" t="n"/>
      <c r="P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9">
        <f>IF(OR(E52="",G52=""),"",ROUND(G52/E52,1))</f>
        <v/>
      </c>
      <c r="I52" s="9">
        <f>IF(OR(F52="",G52=""),"",ROUND(G52/F52,2))</f>
        <v/>
      </c>
      <c r="J52" s="8" t="n"/>
      <c r="K52" s="8" t="n"/>
      <c r="L52" s="8" t="n"/>
      <c r="M52" s="8" t="n"/>
      <c r="N52" s="8" t="n"/>
      <c r="O52" s="8" t="n"/>
      <c r="P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9">
        <f>IF(OR(E53="",G53=""),"",ROUND(G53/E53,1))</f>
        <v/>
      </c>
      <c r="I53" s="9">
        <f>IF(OR(F53="",G53=""),"",ROUND(G53/F53,2))</f>
        <v/>
      </c>
      <c r="J53" s="8" t="n"/>
      <c r="K53" s="8" t="n"/>
      <c r="L53" s="8" t="n"/>
      <c r="M53" s="8" t="n"/>
      <c r="N53" s="8" t="n"/>
      <c r="O53" s="8" t="n"/>
      <c r="P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9">
        <f>IF(OR(E54="",G54=""),"",ROUND(G54/E54,1))</f>
        <v/>
      </c>
      <c r="I54" s="9">
        <f>IF(OR(F54="",G54=""),"",ROUND(G54/F54,2))</f>
        <v/>
      </c>
      <c r="J54" s="8" t="n"/>
      <c r="K54" s="8" t="n"/>
      <c r="L54" s="8" t="n"/>
      <c r="M54" s="8" t="n"/>
      <c r="N54" s="8" t="n"/>
      <c r="O54" s="8" t="n"/>
      <c r="P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9">
        <f>IF(OR(E55="",G55=""),"",ROUND(G55/E55,1))</f>
        <v/>
      </c>
      <c r="I55" s="9">
        <f>IF(OR(F55="",G55=""),"",ROUND(G55/F55,2))</f>
        <v/>
      </c>
      <c r="J55" s="8" t="n"/>
      <c r="K55" s="8" t="n"/>
      <c r="L55" s="8" t="n"/>
      <c r="M55" s="8" t="n"/>
      <c r="N55" s="8" t="n"/>
      <c r="O55" s="8" t="n"/>
      <c r="P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9">
        <f>IF(OR(E56="",G56=""),"",ROUND(G56/E56,1))</f>
        <v/>
      </c>
      <c r="I56" s="9">
        <f>IF(OR(F56="",G56=""),"",ROUND(G56/F56,2))</f>
        <v/>
      </c>
      <c r="J56" s="8" t="n"/>
      <c r="K56" s="8" t="n"/>
      <c r="L56" s="8" t="n"/>
      <c r="M56" s="8" t="n"/>
      <c r="N56" s="8" t="n"/>
      <c r="O56" s="8" t="n"/>
      <c r="P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9">
        <f>IF(OR(E57="",G57=""),"",ROUND(G57/E57,1))</f>
        <v/>
      </c>
      <c r="I57" s="9">
        <f>IF(OR(F57="",G57=""),"",ROUND(G57/F57,2))</f>
        <v/>
      </c>
      <c r="J57" s="8" t="n"/>
      <c r="K57" s="8" t="n"/>
      <c r="L57" s="8" t="n"/>
      <c r="M57" s="8" t="n"/>
      <c r="N57" s="8" t="n"/>
      <c r="O57" s="8" t="n"/>
      <c r="P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9">
        <f>IF(OR(E58="",G58=""),"",ROUND(G58/E58,1))</f>
        <v/>
      </c>
      <c r="I58" s="9">
        <f>IF(OR(F58="",G58=""),"",ROUND(G58/F58,2))</f>
        <v/>
      </c>
      <c r="J58" s="8" t="n"/>
      <c r="K58" s="8" t="n"/>
      <c r="L58" s="8" t="n"/>
      <c r="M58" s="8" t="n"/>
      <c r="N58" s="8" t="n"/>
      <c r="O58" s="8" t="n"/>
      <c r="P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9">
        <f>IF(OR(E59="",G59=""),"",ROUND(G59/E59,1))</f>
        <v/>
      </c>
      <c r="I59" s="9">
        <f>IF(OR(F59="",G59=""),"",ROUND(G59/F59,2))</f>
        <v/>
      </c>
      <c r="J59" s="8" t="n"/>
      <c r="K59" s="8" t="n"/>
      <c r="L59" s="8" t="n"/>
      <c r="M59" s="8" t="n"/>
      <c r="N59" s="8" t="n"/>
      <c r="O59" s="8" t="n"/>
      <c r="P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9">
        <f>IF(OR(E60="",G60=""),"",ROUND(G60/E60,1))</f>
        <v/>
      </c>
      <c r="I60" s="9">
        <f>IF(OR(F60="",G60=""),"",ROUND(G60/F60,2))</f>
        <v/>
      </c>
      <c r="J60" s="8" t="n"/>
      <c r="K60" s="8" t="n"/>
      <c r="L60" s="8" t="n"/>
      <c r="M60" s="8" t="n"/>
      <c r="N60" s="8" t="n"/>
      <c r="O60" s="8" t="n"/>
      <c r="P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9">
        <f>IF(OR(E61="",G61=""),"",ROUND(G61/E61,1))</f>
        <v/>
      </c>
      <c r="I61" s="9">
        <f>IF(OR(F61="",G61=""),"",ROUND(G61/F61,2))</f>
        <v/>
      </c>
      <c r="J61" s="8" t="n"/>
      <c r="K61" s="8" t="n"/>
      <c r="L61" s="8" t="n"/>
      <c r="M61" s="8" t="n"/>
      <c r="N61" s="8" t="n"/>
      <c r="O61" s="8" t="n"/>
      <c r="P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9">
        <f>IF(OR(E62="",G62=""),"",ROUND(G62/E62,1))</f>
        <v/>
      </c>
      <c r="I62" s="9">
        <f>IF(OR(F62="",G62=""),"",ROUND(G62/F62,2))</f>
        <v/>
      </c>
      <c r="J62" s="8" t="n"/>
      <c r="K62" s="8" t="n"/>
      <c r="L62" s="8" t="n"/>
      <c r="M62" s="8" t="n"/>
      <c r="N62" s="8" t="n"/>
      <c r="O62" s="8" t="n"/>
      <c r="P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9">
        <f>IF(OR(E63="",G63=""),"",ROUND(G63/E63,1))</f>
        <v/>
      </c>
      <c r="I63" s="9">
        <f>IF(OR(F63="",G63=""),"",ROUND(G63/F63,2))</f>
        <v/>
      </c>
      <c r="J63" s="8" t="n"/>
      <c r="K63" s="8" t="n"/>
      <c r="L63" s="8" t="n"/>
      <c r="M63" s="8" t="n"/>
      <c r="N63" s="8" t="n"/>
      <c r="O63" s="8" t="n"/>
      <c r="P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9">
        <f>IF(OR(E64="",G64=""),"",ROUND(G64/E64,1))</f>
        <v/>
      </c>
      <c r="I64" s="9">
        <f>IF(OR(F64="",G64=""),"",ROUND(G64/F64,2))</f>
        <v/>
      </c>
      <c r="J64" s="8" t="n"/>
      <c r="K64" s="8" t="n"/>
      <c r="L64" s="8" t="n"/>
      <c r="M64" s="8" t="n"/>
      <c r="N64" s="8" t="n"/>
      <c r="O64" s="8" t="n"/>
      <c r="P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9">
        <f>IF(OR(E65="",G65=""),"",ROUND(G65/E65,1))</f>
        <v/>
      </c>
      <c r="I65" s="9">
        <f>IF(OR(F65="",G65=""),"",ROUND(G65/F65,2))</f>
        <v/>
      </c>
      <c r="J65" s="8" t="n"/>
      <c r="K65" s="8" t="n"/>
      <c r="L65" s="8" t="n"/>
      <c r="M65" s="8" t="n"/>
      <c r="N65" s="8" t="n"/>
      <c r="O65" s="8" t="n"/>
      <c r="P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9">
        <f>IF(OR(E66="",G66=""),"",ROUND(G66/E66,1))</f>
        <v/>
      </c>
      <c r="I66" s="9">
        <f>IF(OR(F66="",G66=""),"",ROUND(G66/F66,2))</f>
        <v/>
      </c>
      <c r="J66" s="8" t="n"/>
      <c r="K66" s="8" t="n"/>
      <c r="L66" s="8" t="n"/>
      <c r="M66" s="8" t="n"/>
      <c r="N66" s="8" t="n"/>
      <c r="O66" s="8" t="n"/>
      <c r="P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9">
        <f>IF(OR(E67="",G67=""),"",ROUND(G67/E67,1))</f>
        <v/>
      </c>
      <c r="I67" s="9">
        <f>IF(OR(F67="",G67=""),"",ROUND(G67/F67,2))</f>
        <v/>
      </c>
      <c r="J67" s="8" t="n"/>
      <c r="K67" s="8" t="n"/>
      <c r="L67" s="8" t="n"/>
      <c r="M67" s="8" t="n"/>
      <c r="N67" s="8" t="n"/>
      <c r="O67" s="8" t="n"/>
      <c r="P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9">
        <f>IF(OR(E68="",G68=""),"",ROUND(G68/E68,1))</f>
        <v/>
      </c>
      <c r="I68" s="9">
        <f>IF(OR(F68="",G68=""),"",ROUND(G68/F68,2))</f>
        <v/>
      </c>
      <c r="J68" s="8" t="n"/>
      <c r="K68" s="8" t="n"/>
      <c r="L68" s="8" t="n"/>
      <c r="M68" s="8" t="n"/>
      <c r="N68" s="8" t="n"/>
      <c r="O68" s="8" t="n"/>
      <c r="P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9">
        <f>IF(OR(E69="",G69=""),"",ROUND(G69/E69,1))</f>
        <v/>
      </c>
      <c r="I69" s="9">
        <f>IF(OR(F69="",G69=""),"",ROUND(G69/F69,2))</f>
        <v/>
      </c>
      <c r="J69" s="8" t="n"/>
      <c r="K69" s="8" t="n"/>
      <c r="L69" s="8" t="n"/>
      <c r="M69" s="8" t="n"/>
      <c r="N69" s="8" t="n"/>
      <c r="O69" s="8" t="n"/>
      <c r="P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9">
        <f>IF(OR(E70="",G70=""),"",ROUND(G70/E70,1))</f>
        <v/>
      </c>
      <c r="I70" s="9">
        <f>IF(OR(F70="",G70=""),"",ROUND(G70/F70,2))</f>
        <v/>
      </c>
      <c r="J70" s="8" t="n"/>
      <c r="K70" s="8" t="n"/>
      <c r="L70" s="8" t="n"/>
      <c r="M70" s="8" t="n"/>
      <c r="N70" s="8" t="n"/>
      <c r="O70" s="8" t="n"/>
      <c r="P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9">
        <f>IF(OR(E71="",G71=""),"",ROUND(G71/E71,1))</f>
        <v/>
      </c>
      <c r="I71" s="9">
        <f>IF(OR(F71="",G71=""),"",ROUND(G71/F71,2))</f>
        <v/>
      </c>
      <c r="J71" s="8" t="n"/>
      <c r="K71" s="8" t="n"/>
      <c r="L71" s="8" t="n"/>
      <c r="M71" s="8" t="n"/>
      <c r="N71" s="8" t="n"/>
      <c r="O71" s="8" t="n"/>
      <c r="P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9">
        <f>IF(OR(E72="",G72=""),"",ROUND(G72/E72,1))</f>
        <v/>
      </c>
      <c r="I72" s="9">
        <f>IF(OR(F72="",G72=""),"",ROUND(G72/F72,2))</f>
        <v/>
      </c>
      <c r="J72" s="8" t="n"/>
      <c r="K72" s="8" t="n"/>
      <c r="L72" s="8" t="n"/>
      <c r="M72" s="8" t="n"/>
      <c r="N72" s="8" t="n"/>
      <c r="O72" s="8" t="n"/>
      <c r="P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9">
        <f>IF(OR(E73="",G73=""),"",ROUND(G73/E73,1))</f>
        <v/>
      </c>
      <c r="I73" s="9">
        <f>IF(OR(F73="",G73=""),"",ROUND(G73/F73,2))</f>
        <v/>
      </c>
      <c r="J73" s="8" t="n"/>
      <c r="K73" s="8" t="n"/>
      <c r="L73" s="8" t="n"/>
      <c r="M73" s="8" t="n"/>
      <c r="N73" s="8" t="n"/>
      <c r="O73" s="8" t="n"/>
      <c r="P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9">
        <f>IF(OR(E74="",G74=""),"",ROUND(G74/E74,1))</f>
        <v/>
      </c>
      <c r="I74" s="9">
        <f>IF(OR(F74="",G74=""),"",ROUND(G74/F74,2))</f>
        <v/>
      </c>
      <c r="J74" s="8" t="n"/>
      <c r="K74" s="8" t="n"/>
      <c r="L74" s="8" t="n"/>
      <c r="M74" s="8" t="n"/>
      <c r="N74" s="8" t="n"/>
      <c r="O74" s="8" t="n"/>
      <c r="P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9">
        <f>IF(OR(E75="",G75=""),"",ROUND(G75/E75,1))</f>
        <v/>
      </c>
      <c r="I75" s="9">
        <f>IF(OR(F75="",G75=""),"",ROUND(G75/F75,2))</f>
        <v/>
      </c>
      <c r="J75" s="8" t="n"/>
      <c r="K75" s="8" t="n"/>
      <c r="L75" s="8" t="n"/>
      <c r="M75" s="8" t="n"/>
      <c r="N75" s="8" t="n"/>
      <c r="O75" s="8" t="n"/>
      <c r="P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9">
        <f>IF(OR(E76="",G76=""),"",ROUND(G76/E76,1))</f>
        <v/>
      </c>
      <c r="I76" s="9">
        <f>IF(OR(F76="",G76=""),"",ROUND(G76/F76,2))</f>
        <v/>
      </c>
      <c r="J76" s="8" t="n"/>
      <c r="K76" s="8" t="n"/>
      <c r="L76" s="8" t="n"/>
      <c r="M76" s="8" t="n"/>
      <c r="N76" s="8" t="n"/>
      <c r="O76" s="8" t="n"/>
      <c r="P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9">
        <f>IF(OR(E77="",G77=""),"",ROUND(G77/E77,1))</f>
        <v/>
      </c>
      <c r="I77" s="9">
        <f>IF(OR(F77="",G77=""),"",ROUND(G77/F77,2))</f>
        <v/>
      </c>
      <c r="J77" s="8" t="n"/>
      <c r="K77" s="8" t="n"/>
      <c r="L77" s="8" t="n"/>
      <c r="M77" s="8" t="n"/>
      <c r="N77" s="8" t="n"/>
      <c r="O77" s="8" t="n"/>
      <c r="P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9">
        <f>IF(OR(E78="",G78=""),"",ROUND(G78/E78,1))</f>
        <v/>
      </c>
      <c r="I78" s="9">
        <f>IF(OR(F78="",G78=""),"",ROUND(G78/F78,2))</f>
        <v/>
      </c>
      <c r="J78" s="8" t="n"/>
      <c r="K78" s="8" t="n"/>
      <c r="L78" s="8" t="n"/>
      <c r="M78" s="8" t="n"/>
      <c r="N78" s="8" t="n"/>
      <c r="O78" s="8" t="n"/>
      <c r="P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9">
        <f>IF(OR(E79="",G79=""),"",ROUND(G79/E79,1))</f>
        <v/>
      </c>
      <c r="I79" s="9">
        <f>IF(OR(F79="",G79=""),"",ROUND(G79/F79,2))</f>
        <v/>
      </c>
      <c r="J79" s="8" t="n"/>
      <c r="K79" s="8" t="n"/>
      <c r="L79" s="8" t="n"/>
      <c r="M79" s="8" t="n"/>
      <c r="N79" s="8" t="n"/>
      <c r="O79" s="8" t="n"/>
      <c r="P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9">
        <f>IF(OR(E80="",G80=""),"",ROUND(G80/E80,1))</f>
        <v/>
      </c>
      <c r="I80" s="9">
        <f>IF(OR(F80="",G80=""),"",ROUND(G80/F80,2))</f>
        <v/>
      </c>
      <c r="J80" s="8" t="n"/>
      <c r="K80" s="8" t="n"/>
      <c r="L80" s="8" t="n"/>
      <c r="M80" s="8" t="n"/>
      <c r="N80" s="8" t="n"/>
      <c r="O80" s="8" t="n"/>
      <c r="P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9">
        <f>IF(OR(E81="",G81=""),"",ROUND(G81/E81,1))</f>
        <v/>
      </c>
      <c r="I81" s="9">
        <f>IF(OR(F81="",G81=""),"",ROUND(G81/F81,2))</f>
        <v/>
      </c>
      <c r="J81" s="8" t="n"/>
      <c r="K81" s="8" t="n"/>
      <c r="L81" s="8" t="n"/>
      <c r="M81" s="8" t="n"/>
      <c r="N81" s="8" t="n"/>
      <c r="O81" s="8" t="n"/>
      <c r="P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9">
        <f>IF(OR(E82="",G82=""),"",ROUND(G82/E82,1))</f>
        <v/>
      </c>
      <c r="I82" s="9">
        <f>IF(OR(F82="",G82=""),"",ROUND(G82/F82,2))</f>
        <v/>
      </c>
      <c r="J82" s="8" t="n"/>
      <c r="K82" s="8" t="n"/>
      <c r="L82" s="8" t="n"/>
      <c r="M82" s="8" t="n"/>
      <c r="N82" s="8" t="n"/>
      <c r="O82" s="8" t="n"/>
      <c r="P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9">
        <f>IF(OR(E83="",G83=""),"",ROUND(G83/E83,1))</f>
        <v/>
      </c>
      <c r="I83" s="9">
        <f>IF(OR(F83="",G83=""),"",ROUND(G83/F83,2))</f>
        <v/>
      </c>
      <c r="J83" s="8" t="n"/>
      <c r="K83" s="8" t="n"/>
      <c r="L83" s="8" t="n"/>
      <c r="M83" s="8" t="n"/>
      <c r="N83" s="8" t="n"/>
      <c r="O83" s="8" t="n"/>
      <c r="P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9">
        <f>IF(OR(E84="",G84=""),"",ROUND(G84/E84,1))</f>
        <v/>
      </c>
      <c r="I84" s="9">
        <f>IF(OR(F84="",G84=""),"",ROUND(G84/F84,2))</f>
        <v/>
      </c>
      <c r="J84" s="8" t="n"/>
      <c r="K84" s="8" t="n"/>
      <c r="L84" s="8" t="n"/>
      <c r="M84" s="8" t="n"/>
      <c r="N84" s="8" t="n"/>
      <c r="O84" s="8" t="n"/>
      <c r="P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9">
        <f>IF(OR(E85="",G85=""),"",ROUND(G85/E85,1))</f>
        <v/>
      </c>
      <c r="I85" s="9">
        <f>IF(OR(F85="",G85=""),"",ROUND(G85/F85,2))</f>
        <v/>
      </c>
      <c r="J85" s="8" t="n"/>
      <c r="K85" s="8" t="n"/>
      <c r="L85" s="8" t="n"/>
      <c r="M85" s="8" t="n"/>
      <c r="N85" s="8" t="n"/>
      <c r="O85" s="8" t="n"/>
      <c r="P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9">
        <f>IF(OR(E86="",G86=""),"",ROUND(G86/E86,1))</f>
        <v/>
      </c>
      <c r="I86" s="9">
        <f>IF(OR(F86="",G86=""),"",ROUND(G86/F86,2))</f>
        <v/>
      </c>
      <c r="J86" s="8" t="n"/>
      <c r="K86" s="8" t="n"/>
      <c r="L86" s="8" t="n"/>
      <c r="M86" s="8" t="n"/>
      <c r="N86" s="8" t="n"/>
      <c r="O86" s="8" t="n"/>
      <c r="P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9">
        <f>IF(OR(E87="",G87=""),"",ROUND(G87/E87,1))</f>
        <v/>
      </c>
      <c r="I87" s="9">
        <f>IF(OR(F87="",G87=""),"",ROUND(G87/F87,2))</f>
        <v/>
      </c>
      <c r="J87" s="8" t="n"/>
      <c r="K87" s="8" t="n"/>
      <c r="L87" s="8" t="n"/>
      <c r="M87" s="8" t="n"/>
      <c r="N87" s="8" t="n"/>
      <c r="O87" s="8" t="n"/>
      <c r="P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9">
        <f>IF(OR(E88="",G88=""),"",ROUND(G88/E88,1))</f>
        <v/>
      </c>
      <c r="I88" s="9">
        <f>IF(OR(F88="",G88=""),"",ROUND(G88/F88,2))</f>
        <v/>
      </c>
      <c r="J88" s="8" t="n"/>
      <c r="K88" s="8" t="n"/>
      <c r="L88" s="8" t="n"/>
      <c r="M88" s="8" t="n"/>
      <c r="N88" s="8" t="n"/>
      <c r="O88" s="8" t="n"/>
      <c r="P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9">
        <f>IF(OR(E89="",G89=""),"",ROUND(G89/E89,1))</f>
        <v/>
      </c>
      <c r="I89" s="9">
        <f>IF(OR(F89="",G89=""),"",ROUND(G89/F89,2))</f>
        <v/>
      </c>
      <c r="J89" s="8" t="n"/>
      <c r="K89" s="8" t="n"/>
      <c r="L89" s="8" t="n"/>
      <c r="M89" s="8" t="n"/>
      <c r="N89" s="8" t="n"/>
      <c r="O89" s="8" t="n"/>
      <c r="P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9">
        <f>IF(OR(E90="",G90=""),"",ROUND(G90/E90,1))</f>
        <v/>
      </c>
      <c r="I90" s="9">
        <f>IF(OR(F90="",G90=""),"",ROUND(G90/F90,2))</f>
        <v/>
      </c>
      <c r="J90" s="8" t="n"/>
      <c r="K90" s="8" t="n"/>
      <c r="L90" s="8" t="n"/>
      <c r="M90" s="8" t="n"/>
      <c r="N90" s="8" t="n"/>
      <c r="O90" s="8" t="n"/>
      <c r="P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9">
        <f>IF(OR(E91="",G91=""),"",ROUND(G91/E91,1))</f>
        <v/>
      </c>
      <c r="I91" s="9">
        <f>IF(OR(F91="",G91=""),"",ROUND(G91/F91,2))</f>
        <v/>
      </c>
      <c r="J91" s="8" t="n"/>
      <c r="K91" s="8" t="n"/>
      <c r="L91" s="8" t="n"/>
      <c r="M91" s="8" t="n"/>
      <c r="N91" s="8" t="n"/>
      <c r="O91" s="8" t="n"/>
      <c r="P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9">
        <f>IF(OR(E92="",G92=""),"",ROUND(G92/E92,1))</f>
        <v/>
      </c>
      <c r="I92" s="9">
        <f>IF(OR(F92="",G92=""),"",ROUND(G92/F92,2))</f>
        <v/>
      </c>
      <c r="J92" s="8" t="n"/>
      <c r="K92" s="8" t="n"/>
      <c r="L92" s="8" t="n"/>
      <c r="M92" s="8" t="n"/>
      <c r="N92" s="8" t="n"/>
      <c r="O92" s="8" t="n"/>
      <c r="P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9">
        <f>IF(OR(E93="",G93=""),"",ROUND(G93/E93,1))</f>
        <v/>
      </c>
      <c r="I93" s="9">
        <f>IF(OR(F93="",G93=""),"",ROUND(G93/F93,2))</f>
        <v/>
      </c>
      <c r="J93" s="8" t="n"/>
      <c r="K93" s="8" t="n"/>
      <c r="L93" s="8" t="n"/>
      <c r="M93" s="8" t="n"/>
      <c r="N93" s="8" t="n"/>
      <c r="O93" s="8" t="n"/>
      <c r="P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9">
        <f>IF(OR(E94="",G94=""),"",ROUND(G94/E94,1))</f>
        <v/>
      </c>
      <c r="I94" s="9">
        <f>IF(OR(F94="",G94=""),"",ROUND(G94/F94,2))</f>
        <v/>
      </c>
      <c r="J94" s="8" t="n"/>
      <c r="K94" s="8" t="n"/>
      <c r="L94" s="8" t="n"/>
      <c r="M94" s="8" t="n"/>
      <c r="N94" s="8" t="n"/>
      <c r="O94" s="8" t="n"/>
      <c r="P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9">
        <f>IF(OR(E95="",G95=""),"",ROUND(G95/E95,1))</f>
        <v/>
      </c>
      <c r="I95" s="9">
        <f>IF(OR(F95="",G95=""),"",ROUND(G95/F95,2))</f>
        <v/>
      </c>
      <c r="J95" s="8" t="n"/>
      <c r="K95" s="8" t="n"/>
      <c r="L95" s="8" t="n"/>
      <c r="M95" s="8" t="n"/>
      <c r="N95" s="8" t="n"/>
      <c r="O95" s="8" t="n"/>
      <c r="P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9">
        <f>IF(OR(E96="",G96=""),"",ROUND(G96/E96,1))</f>
        <v/>
      </c>
      <c r="I96" s="9">
        <f>IF(OR(F96="",G96=""),"",ROUND(G96/F96,2))</f>
        <v/>
      </c>
      <c r="J96" s="8" t="n"/>
      <c r="K96" s="8" t="n"/>
      <c r="L96" s="8" t="n"/>
      <c r="M96" s="8" t="n"/>
      <c r="N96" s="8" t="n"/>
      <c r="O96" s="8" t="n"/>
      <c r="P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9">
        <f>IF(OR(E97="",G97=""),"",ROUND(G97/E97,1))</f>
        <v/>
      </c>
      <c r="I97" s="9">
        <f>IF(OR(F97="",G97=""),"",ROUND(G97/F97,2))</f>
        <v/>
      </c>
      <c r="J97" s="8" t="n"/>
      <c r="K97" s="8" t="n"/>
      <c r="L97" s="8" t="n"/>
      <c r="M97" s="8" t="n"/>
      <c r="N97" s="8" t="n"/>
      <c r="O97" s="8" t="n"/>
      <c r="P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9">
        <f>IF(OR(E98="",G98=""),"",ROUND(G98/E98,1))</f>
        <v/>
      </c>
      <c r="I98" s="9">
        <f>IF(OR(F98="",G98=""),"",ROUND(G98/F98,2))</f>
        <v/>
      </c>
      <c r="J98" s="8" t="n"/>
      <c r="K98" s="8" t="n"/>
      <c r="L98" s="8" t="n"/>
      <c r="M98" s="8" t="n"/>
      <c r="N98" s="8" t="n"/>
      <c r="O98" s="8" t="n"/>
      <c r="P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9">
        <f>IF(OR(E99="",G99=""),"",ROUND(G99/E99,1))</f>
        <v/>
      </c>
      <c r="I99" s="9">
        <f>IF(OR(F99="",G99=""),"",ROUND(G99/F99,2))</f>
        <v/>
      </c>
      <c r="J99" s="8" t="n"/>
      <c r="K99" s="8" t="n"/>
      <c r="L99" s="8" t="n"/>
      <c r="M99" s="8" t="n"/>
      <c r="N99" s="8" t="n"/>
      <c r="O99" s="8" t="n"/>
      <c r="P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9">
        <f>IF(OR(E100="",G100=""),"",ROUND(G100/E100,1))</f>
        <v/>
      </c>
      <c r="I100" s="9">
        <f>IF(OR(F100="",G100=""),"",ROUND(G100/F100,2))</f>
        <v/>
      </c>
      <c r="J100" s="8" t="n"/>
      <c r="K100" s="8" t="n"/>
      <c r="L100" s="8" t="n"/>
      <c r="M100" s="8" t="n"/>
      <c r="N100" s="8" t="n"/>
      <c r="O100" s="8" t="n"/>
      <c r="P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9">
        <f>IF(OR(E101="",G101=""),"",ROUND(G101/E101,1))</f>
        <v/>
      </c>
      <c r="I101" s="9">
        <f>IF(OR(F101="",G101=""),"",ROUND(G101/F101,2))</f>
        <v/>
      </c>
      <c r="J101" s="8" t="n"/>
      <c r="K101" s="8" t="n"/>
      <c r="L101" s="8" t="n"/>
      <c r="M101" s="8" t="n"/>
      <c r="N101" s="8" t="n"/>
      <c r="O101" s="8" t="n"/>
      <c r="P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9">
        <f>IF(OR(E102="",G102=""),"",ROUND(G102/E102,1))</f>
        <v/>
      </c>
      <c r="I102" s="9">
        <f>IF(OR(F102="",G102=""),"",ROUND(G102/F102,2))</f>
        <v/>
      </c>
      <c r="J102" s="8" t="n"/>
      <c r="K102" s="8" t="n"/>
      <c r="L102" s="8" t="n"/>
      <c r="M102" s="8" t="n"/>
      <c r="N102" s="8" t="n"/>
      <c r="O102" s="8" t="n"/>
      <c r="P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9">
        <f>IF(OR(E103="",G103=""),"",ROUND(G103/E103,1))</f>
        <v/>
      </c>
      <c r="I103" s="9">
        <f>IF(OR(F103="",G103=""),"",ROUND(G103/F103,2))</f>
        <v/>
      </c>
      <c r="J103" s="8" t="n"/>
      <c r="K103" s="8" t="n"/>
      <c r="L103" s="8" t="n"/>
      <c r="M103" s="8" t="n"/>
      <c r="N103" s="8" t="n"/>
      <c r="O103" s="8" t="n"/>
      <c r="P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9">
        <f>IF(OR(E104="",G104=""),"",ROUND(G104/E104,1))</f>
        <v/>
      </c>
      <c r="I104" s="9">
        <f>IF(OR(F104="",G104=""),"",ROUND(G104/F104,2))</f>
        <v/>
      </c>
      <c r="J104" s="8" t="n"/>
      <c r="K104" s="8" t="n"/>
      <c r="L104" s="8" t="n"/>
      <c r="M104" s="8" t="n"/>
      <c r="N104" s="8" t="n"/>
      <c r="O104" s="8" t="n"/>
      <c r="P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9">
        <f>IF(OR(E105="",G105=""),"",ROUND(G105/E105,1))</f>
        <v/>
      </c>
      <c r="I105" s="9">
        <f>IF(OR(F105="",G105=""),"",ROUND(G105/F105,2))</f>
        <v/>
      </c>
      <c r="J105" s="8" t="n"/>
      <c r="K105" s="8" t="n"/>
      <c r="L105" s="8" t="n"/>
      <c r="M105" s="8" t="n"/>
      <c r="N105" s="8" t="n"/>
      <c r="O105" s="8" t="n"/>
      <c r="P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9">
        <f>IF(OR(E106="",G106=""),"",ROUND(G106/E106,1))</f>
        <v/>
      </c>
      <c r="I106" s="9">
        <f>IF(OR(F106="",G106=""),"",ROUND(G106/F106,2))</f>
        <v/>
      </c>
      <c r="J106" s="8" t="n"/>
      <c r="K106" s="8" t="n"/>
      <c r="L106" s="8" t="n"/>
      <c r="M106" s="8" t="n"/>
      <c r="N106" s="8" t="n"/>
      <c r="O106" s="8" t="n"/>
      <c r="P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9">
        <f>IF(OR(E107="",G107=""),"",ROUND(G107/E107,1))</f>
        <v/>
      </c>
      <c r="I107" s="9">
        <f>IF(OR(F107="",G107=""),"",ROUND(G107/F107,2))</f>
        <v/>
      </c>
      <c r="J107" s="8" t="n"/>
      <c r="K107" s="8" t="n"/>
      <c r="L107" s="8" t="n"/>
      <c r="M107" s="8" t="n"/>
      <c r="N107" s="8" t="n"/>
      <c r="O107" s="8" t="n"/>
      <c r="P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9">
        <f>IF(OR(E108="",G108=""),"",ROUND(G108/E108,1))</f>
        <v/>
      </c>
      <c r="I108" s="9">
        <f>IF(OR(F108="",G108=""),"",ROUND(G108/F108,2))</f>
        <v/>
      </c>
      <c r="J108" s="8" t="n"/>
      <c r="K108" s="8" t="n"/>
      <c r="L108" s="8" t="n"/>
      <c r="M108" s="8" t="n"/>
      <c r="N108" s="8" t="n"/>
      <c r="O108" s="8" t="n"/>
      <c r="P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9">
        <f>IF(OR(E109="",G109=""),"",ROUND(G109/E109,1))</f>
        <v/>
      </c>
      <c r="I109" s="9">
        <f>IF(OR(F109="",G109=""),"",ROUND(G109/F109,2))</f>
        <v/>
      </c>
      <c r="J109" s="8" t="n"/>
      <c r="K109" s="8" t="n"/>
      <c r="L109" s="8" t="n"/>
      <c r="M109" s="8" t="n"/>
      <c r="N109" s="8" t="n"/>
      <c r="O109" s="8" t="n"/>
      <c r="P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9">
        <f>IF(OR(E110="",G110=""),"",ROUND(G110/E110,1))</f>
        <v/>
      </c>
      <c r="I110" s="9">
        <f>IF(OR(F110="",G110=""),"",ROUND(G110/F110,2))</f>
        <v/>
      </c>
      <c r="J110" s="8" t="n"/>
      <c r="K110" s="8" t="n"/>
      <c r="L110" s="8" t="n"/>
      <c r="M110" s="8" t="n"/>
      <c r="N110" s="8" t="n"/>
      <c r="O110" s="8" t="n"/>
      <c r="P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9">
        <f>IF(OR(E111="",G111=""),"",ROUND(G111/E111,1))</f>
        <v/>
      </c>
      <c r="I111" s="9">
        <f>IF(OR(F111="",G111=""),"",ROUND(G111/F111,2))</f>
        <v/>
      </c>
      <c r="J111" s="8" t="n"/>
      <c r="K111" s="8" t="n"/>
      <c r="L111" s="8" t="n"/>
      <c r="M111" s="8" t="n"/>
      <c r="N111" s="8" t="n"/>
      <c r="O111" s="8" t="n"/>
      <c r="P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9">
        <f>IF(OR(E112="",G112=""),"",ROUND(G112/E112,1))</f>
        <v/>
      </c>
      <c r="I112" s="9">
        <f>IF(OR(F112="",G112=""),"",ROUND(G112/F112,2))</f>
        <v/>
      </c>
      <c r="J112" s="8" t="n"/>
      <c r="K112" s="8" t="n"/>
      <c r="L112" s="8" t="n"/>
      <c r="M112" s="8" t="n"/>
      <c r="N112" s="8" t="n"/>
      <c r="O112" s="8" t="n"/>
      <c r="P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9">
        <f>IF(OR(E113="",G113=""),"",ROUND(G113/E113,1))</f>
        <v/>
      </c>
      <c r="I113" s="9">
        <f>IF(OR(F113="",G113=""),"",ROUND(G113/F113,2))</f>
        <v/>
      </c>
      <c r="J113" s="8" t="n"/>
      <c r="K113" s="8" t="n"/>
      <c r="L113" s="8" t="n"/>
      <c r="M113" s="8" t="n"/>
      <c r="N113" s="8" t="n"/>
      <c r="O113" s="8" t="n"/>
      <c r="P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9">
        <f>IF(OR(E114="",G114=""),"",ROUND(G114/E114,1))</f>
        <v/>
      </c>
      <c r="I114" s="9">
        <f>IF(OR(F114="",G114=""),"",ROUND(G114/F114,2))</f>
        <v/>
      </c>
      <c r="J114" s="8" t="n"/>
      <c r="K114" s="8" t="n"/>
      <c r="L114" s="8" t="n"/>
      <c r="M114" s="8" t="n"/>
      <c r="N114" s="8" t="n"/>
      <c r="O114" s="8" t="n"/>
      <c r="P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9">
        <f>IF(OR(E115="",G115=""),"",ROUND(G115/E115,1))</f>
        <v/>
      </c>
      <c r="I115" s="9">
        <f>IF(OR(F115="",G115=""),"",ROUND(G115/F115,2))</f>
        <v/>
      </c>
      <c r="J115" s="8" t="n"/>
      <c r="K115" s="8" t="n"/>
      <c r="L115" s="8" t="n"/>
      <c r="M115" s="8" t="n"/>
      <c r="N115" s="8" t="n"/>
      <c r="O115" s="8" t="n"/>
      <c r="P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9">
        <f>IF(OR(E116="",G116=""),"",ROUND(G116/E116,1))</f>
        <v/>
      </c>
      <c r="I116" s="9">
        <f>IF(OR(F116="",G116=""),"",ROUND(G116/F116,2))</f>
        <v/>
      </c>
      <c r="J116" s="8" t="n"/>
      <c r="K116" s="8" t="n"/>
      <c r="L116" s="8" t="n"/>
      <c r="M116" s="8" t="n"/>
      <c r="N116" s="8" t="n"/>
      <c r="O116" s="8" t="n"/>
      <c r="P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9">
        <f>IF(OR(E117="",G117=""),"",ROUND(G117/E117,1))</f>
        <v/>
      </c>
      <c r="I117" s="9">
        <f>IF(OR(F117="",G117=""),"",ROUND(G117/F117,2))</f>
        <v/>
      </c>
      <c r="J117" s="8" t="n"/>
      <c r="K117" s="8" t="n"/>
      <c r="L117" s="8" t="n"/>
      <c r="M117" s="8" t="n"/>
      <c r="N117" s="8" t="n"/>
      <c r="O117" s="8" t="n"/>
      <c r="P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9">
        <f>IF(OR(E118="",G118=""),"",ROUND(G118/E118,1))</f>
        <v/>
      </c>
      <c r="I118" s="9">
        <f>IF(OR(F118="",G118=""),"",ROUND(G118/F118,2))</f>
        <v/>
      </c>
      <c r="J118" s="8" t="n"/>
      <c r="K118" s="8" t="n"/>
      <c r="L118" s="8" t="n"/>
      <c r="M118" s="8" t="n"/>
      <c r="N118" s="8" t="n"/>
      <c r="O118" s="8" t="n"/>
      <c r="P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9">
        <f>IF(OR(E119="",G119=""),"",ROUND(G119/E119,1))</f>
        <v/>
      </c>
      <c r="I119" s="9">
        <f>IF(OR(F119="",G119=""),"",ROUND(G119/F119,2))</f>
        <v/>
      </c>
      <c r="J119" s="8" t="n"/>
      <c r="K119" s="8" t="n"/>
      <c r="L119" s="8" t="n"/>
      <c r="M119" s="8" t="n"/>
      <c r="N119" s="8" t="n"/>
      <c r="O119" s="8" t="n"/>
      <c r="P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9">
        <f>IF(OR(E120="",G120=""),"",ROUND(G120/E120,1))</f>
        <v/>
      </c>
      <c r="I120" s="9">
        <f>IF(OR(F120="",G120=""),"",ROUND(G120/F120,2))</f>
        <v/>
      </c>
      <c r="J120" s="8" t="n"/>
      <c r="K120" s="8" t="n"/>
      <c r="L120" s="8" t="n"/>
      <c r="M120" s="8" t="n"/>
      <c r="N120" s="8" t="n"/>
      <c r="O120" s="8" t="n"/>
      <c r="P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9">
        <f>IF(OR(E121="",G121=""),"",ROUND(G121/E121,1))</f>
        <v/>
      </c>
      <c r="I121" s="9">
        <f>IF(OR(F121="",G121=""),"",ROUND(G121/F121,2))</f>
        <v/>
      </c>
      <c r="J121" s="8" t="n"/>
      <c r="K121" s="8" t="n"/>
      <c r="L121" s="8" t="n"/>
      <c r="M121" s="8" t="n"/>
      <c r="N121" s="8" t="n"/>
      <c r="O121" s="8" t="n"/>
      <c r="P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9">
        <f>IF(OR(E122="",G122=""),"",ROUND(G122/E122,1))</f>
        <v/>
      </c>
      <c r="I122" s="9">
        <f>IF(OR(F122="",G122=""),"",ROUND(G122/F122,2))</f>
        <v/>
      </c>
      <c r="J122" s="8" t="n"/>
      <c r="K122" s="8" t="n"/>
      <c r="L122" s="8" t="n"/>
      <c r="M122" s="8" t="n"/>
      <c r="N122" s="8" t="n"/>
      <c r="O122" s="8" t="n"/>
      <c r="P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9">
        <f>IF(OR(E123="",G123=""),"",ROUND(G123/E123,1))</f>
        <v/>
      </c>
      <c r="I123" s="9">
        <f>IF(OR(F123="",G123=""),"",ROUND(G123/F123,2))</f>
        <v/>
      </c>
      <c r="J123" s="8" t="n"/>
      <c r="K123" s="8" t="n"/>
      <c r="L123" s="8" t="n"/>
      <c r="M123" s="8" t="n"/>
      <c r="N123" s="8" t="n"/>
      <c r="O123" s="8" t="n"/>
      <c r="P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9">
        <f>IF(OR(E124="",G124=""),"",ROUND(G124/E124,1))</f>
        <v/>
      </c>
      <c r="I124" s="9">
        <f>IF(OR(F124="",G124=""),"",ROUND(G124/F124,2))</f>
        <v/>
      </c>
      <c r="J124" s="8" t="n"/>
      <c r="K124" s="8" t="n"/>
      <c r="L124" s="8" t="n"/>
      <c r="M124" s="8" t="n"/>
      <c r="N124" s="8" t="n"/>
      <c r="O124" s="8" t="n"/>
      <c r="P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9">
        <f>IF(OR(E125="",G125=""),"",ROUND(G125/E125,1))</f>
        <v/>
      </c>
      <c r="I125" s="9">
        <f>IF(OR(F125="",G125=""),"",ROUND(G125/F125,2))</f>
        <v/>
      </c>
      <c r="J125" s="8" t="n"/>
      <c r="K125" s="8" t="n"/>
      <c r="L125" s="8" t="n"/>
      <c r="M125" s="8" t="n"/>
      <c r="N125" s="8" t="n"/>
      <c r="O125" s="8" t="n"/>
      <c r="P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9">
        <f>IF(OR(E126="",G126=""),"",ROUND(G126/E126,1))</f>
        <v/>
      </c>
      <c r="I126" s="9">
        <f>IF(OR(F126="",G126=""),"",ROUND(G126/F126,2))</f>
        <v/>
      </c>
      <c r="J126" s="8" t="n"/>
      <c r="K126" s="8" t="n"/>
      <c r="L126" s="8" t="n"/>
      <c r="M126" s="8" t="n"/>
      <c r="N126" s="8" t="n"/>
      <c r="O126" s="8" t="n"/>
      <c r="P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9">
        <f>IF(OR(E127="",G127=""),"",ROUND(G127/E127,1))</f>
        <v/>
      </c>
      <c r="I127" s="9">
        <f>IF(OR(F127="",G127=""),"",ROUND(G127/F127,2))</f>
        <v/>
      </c>
      <c r="J127" s="8" t="n"/>
      <c r="K127" s="8" t="n"/>
      <c r="L127" s="8" t="n"/>
      <c r="M127" s="8" t="n"/>
      <c r="N127" s="8" t="n"/>
      <c r="O127" s="8" t="n"/>
      <c r="P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9">
        <f>IF(OR(E128="",G128=""),"",ROUND(G128/E128,1))</f>
        <v/>
      </c>
      <c r="I128" s="9">
        <f>IF(OR(F128="",G128=""),"",ROUND(G128/F128,2))</f>
        <v/>
      </c>
      <c r="J128" s="8" t="n"/>
      <c r="K128" s="8" t="n"/>
      <c r="L128" s="8" t="n"/>
      <c r="M128" s="8" t="n"/>
      <c r="N128" s="8" t="n"/>
      <c r="O128" s="8" t="n"/>
      <c r="P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9">
        <f>IF(OR(E129="",G129=""),"",ROUND(G129/E129,1))</f>
        <v/>
      </c>
      <c r="I129" s="9">
        <f>IF(OR(F129="",G129=""),"",ROUND(G129/F129,2))</f>
        <v/>
      </c>
      <c r="J129" s="8" t="n"/>
      <c r="K129" s="8" t="n"/>
      <c r="L129" s="8" t="n"/>
      <c r="M129" s="8" t="n"/>
      <c r="N129" s="8" t="n"/>
      <c r="O129" s="8" t="n"/>
      <c r="P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9">
        <f>IF(OR(E130="",G130=""),"",ROUND(G130/E130,1))</f>
        <v/>
      </c>
      <c r="I130" s="9">
        <f>IF(OR(F130="",G130=""),"",ROUND(G130/F130,2))</f>
        <v/>
      </c>
      <c r="J130" s="8" t="n"/>
      <c r="K130" s="8" t="n"/>
      <c r="L130" s="8" t="n"/>
      <c r="M130" s="8" t="n"/>
      <c r="N130" s="8" t="n"/>
      <c r="O130" s="8" t="n"/>
      <c r="P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9">
        <f>IF(OR(E131="",G131=""),"",ROUND(G131/E131,1))</f>
        <v/>
      </c>
      <c r="I131" s="9">
        <f>IF(OR(F131="",G131=""),"",ROUND(G131/F131,2))</f>
        <v/>
      </c>
      <c r="J131" s="8" t="n"/>
      <c r="K131" s="8" t="n"/>
      <c r="L131" s="8" t="n"/>
      <c r="M131" s="8" t="n"/>
      <c r="N131" s="8" t="n"/>
      <c r="O131" s="8" t="n"/>
      <c r="P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9">
        <f>IF(OR(E132="",G132=""),"",ROUND(G132/E132,1))</f>
        <v/>
      </c>
      <c r="I132" s="9">
        <f>IF(OR(F132="",G132=""),"",ROUND(G132/F132,2))</f>
        <v/>
      </c>
      <c r="J132" s="8" t="n"/>
      <c r="K132" s="8" t="n"/>
      <c r="L132" s="8" t="n"/>
      <c r="M132" s="8" t="n"/>
      <c r="N132" s="8" t="n"/>
      <c r="O132" s="8" t="n"/>
      <c r="P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9">
        <f>IF(OR(E133="",G133=""),"",ROUND(G133/E133,1))</f>
        <v/>
      </c>
      <c r="I133" s="9">
        <f>IF(OR(F133="",G133=""),"",ROUND(G133/F133,2))</f>
        <v/>
      </c>
      <c r="J133" s="8" t="n"/>
      <c r="K133" s="8" t="n"/>
      <c r="L133" s="8" t="n"/>
      <c r="M133" s="8" t="n"/>
      <c r="N133" s="8" t="n"/>
      <c r="O133" s="8" t="n"/>
      <c r="P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9">
        <f>IF(OR(E134="",G134=""),"",ROUND(G134/E134,1))</f>
        <v/>
      </c>
      <c r="I134" s="9">
        <f>IF(OR(F134="",G134=""),"",ROUND(G134/F134,2))</f>
        <v/>
      </c>
      <c r="J134" s="8" t="n"/>
      <c r="K134" s="8" t="n"/>
      <c r="L134" s="8" t="n"/>
      <c r="M134" s="8" t="n"/>
      <c r="N134" s="8" t="n"/>
      <c r="O134" s="8" t="n"/>
      <c r="P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9">
        <f>IF(OR(E135="",G135=""),"",ROUND(G135/E135,1))</f>
        <v/>
      </c>
      <c r="I135" s="9">
        <f>IF(OR(F135="",G135=""),"",ROUND(G135/F135,2))</f>
        <v/>
      </c>
      <c r="J135" s="8" t="n"/>
      <c r="K135" s="8" t="n"/>
      <c r="L135" s="8" t="n"/>
      <c r="M135" s="8" t="n"/>
      <c r="N135" s="8" t="n"/>
      <c r="O135" s="8" t="n"/>
      <c r="P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9">
        <f>IF(OR(E136="",G136=""),"",ROUND(G136/E136,1))</f>
        <v/>
      </c>
      <c r="I136" s="9">
        <f>IF(OR(F136="",G136=""),"",ROUND(G136/F136,2))</f>
        <v/>
      </c>
      <c r="J136" s="8" t="n"/>
      <c r="K136" s="8" t="n"/>
      <c r="L136" s="8" t="n"/>
      <c r="M136" s="8" t="n"/>
      <c r="N136" s="8" t="n"/>
      <c r="O136" s="8" t="n"/>
      <c r="P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9">
        <f>IF(OR(E137="",G137=""),"",ROUND(G137/E137,1))</f>
        <v/>
      </c>
      <c r="I137" s="9">
        <f>IF(OR(F137="",G137=""),"",ROUND(G137/F137,2))</f>
        <v/>
      </c>
      <c r="J137" s="8" t="n"/>
      <c r="K137" s="8" t="n"/>
      <c r="L137" s="8" t="n"/>
      <c r="M137" s="8" t="n"/>
      <c r="N137" s="8" t="n"/>
      <c r="O137" s="8" t="n"/>
      <c r="P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9">
        <f>IF(OR(E138="",G138=""),"",ROUND(G138/E138,1))</f>
        <v/>
      </c>
      <c r="I138" s="9">
        <f>IF(OR(F138="",G138=""),"",ROUND(G138/F138,2))</f>
        <v/>
      </c>
      <c r="J138" s="8" t="n"/>
      <c r="K138" s="8" t="n"/>
      <c r="L138" s="8" t="n"/>
      <c r="M138" s="8" t="n"/>
      <c r="N138" s="8" t="n"/>
      <c r="O138" s="8" t="n"/>
      <c r="P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9">
        <f>IF(OR(E139="",G139=""),"",ROUND(G139/E139,1))</f>
        <v/>
      </c>
      <c r="I139" s="9">
        <f>IF(OR(F139="",G139=""),"",ROUND(G139/F139,2))</f>
        <v/>
      </c>
      <c r="J139" s="8" t="n"/>
      <c r="K139" s="8" t="n"/>
      <c r="L139" s="8" t="n"/>
      <c r="M139" s="8" t="n"/>
      <c r="N139" s="8" t="n"/>
      <c r="O139" s="8" t="n"/>
      <c r="P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9">
        <f>IF(OR(E140="",G140=""),"",ROUND(G140/E140,1))</f>
        <v/>
      </c>
      <c r="I140" s="9">
        <f>IF(OR(F140="",G140=""),"",ROUND(G140/F140,2))</f>
        <v/>
      </c>
      <c r="J140" s="8" t="n"/>
      <c r="K140" s="8" t="n"/>
      <c r="L140" s="8" t="n"/>
      <c r="M140" s="8" t="n"/>
      <c r="N140" s="8" t="n"/>
      <c r="O140" s="8" t="n"/>
      <c r="P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9">
        <f>IF(OR(E141="",G141=""),"",ROUND(G141/E141,1))</f>
        <v/>
      </c>
      <c r="I141" s="9">
        <f>IF(OR(F141="",G141=""),"",ROUND(G141/F141,2))</f>
        <v/>
      </c>
      <c r="J141" s="8" t="n"/>
      <c r="K141" s="8" t="n"/>
      <c r="L141" s="8" t="n"/>
      <c r="M141" s="8" t="n"/>
      <c r="N141" s="8" t="n"/>
      <c r="O141" s="8" t="n"/>
      <c r="P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9">
        <f>IF(OR(E142="",G142=""),"",ROUND(G142/E142,1))</f>
        <v/>
      </c>
      <c r="I142" s="9">
        <f>IF(OR(F142="",G142=""),"",ROUND(G142/F142,2))</f>
        <v/>
      </c>
      <c r="J142" s="8" t="n"/>
      <c r="K142" s="8" t="n"/>
      <c r="L142" s="8" t="n"/>
      <c r="M142" s="8" t="n"/>
      <c r="N142" s="8" t="n"/>
      <c r="O142" s="8" t="n"/>
      <c r="P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9">
        <f>IF(OR(E143="",G143=""),"",ROUND(G143/E143,1))</f>
        <v/>
      </c>
      <c r="I143" s="9">
        <f>IF(OR(F143="",G143=""),"",ROUND(G143/F143,2))</f>
        <v/>
      </c>
      <c r="J143" s="8" t="n"/>
      <c r="K143" s="8" t="n"/>
      <c r="L143" s="8" t="n"/>
      <c r="M143" s="8" t="n"/>
      <c r="N143" s="8" t="n"/>
      <c r="O143" s="8" t="n"/>
      <c r="P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9">
        <f>IF(OR(E144="",G144=""),"",ROUND(G144/E144,1))</f>
        <v/>
      </c>
      <c r="I144" s="9">
        <f>IF(OR(F144="",G144=""),"",ROUND(G144/F144,2))</f>
        <v/>
      </c>
      <c r="J144" s="8" t="n"/>
      <c r="K144" s="8" t="n"/>
      <c r="L144" s="8" t="n"/>
      <c r="M144" s="8" t="n"/>
      <c r="N144" s="8" t="n"/>
      <c r="O144" s="8" t="n"/>
      <c r="P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9">
        <f>IF(OR(E145="",G145=""),"",ROUND(G145/E145,1))</f>
        <v/>
      </c>
      <c r="I145" s="9">
        <f>IF(OR(F145="",G145=""),"",ROUND(G145/F145,2))</f>
        <v/>
      </c>
      <c r="J145" s="8" t="n"/>
      <c r="K145" s="8" t="n"/>
      <c r="L145" s="8" t="n"/>
      <c r="M145" s="8" t="n"/>
      <c r="N145" s="8" t="n"/>
      <c r="O145" s="8" t="n"/>
      <c r="P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9">
        <f>IF(OR(E146="",G146=""),"",ROUND(G146/E146,1))</f>
        <v/>
      </c>
      <c r="I146" s="9">
        <f>IF(OR(F146="",G146=""),"",ROUND(G146/F146,2))</f>
        <v/>
      </c>
      <c r="J146" s="8" t="n"/>
      <c r="K146" s="8" t="n"/>
      <c r="L146" s="8" t="n"/>
      <c r="M146" s="8" t="n"/>
      <c r="N146" s="8" t="n"/>
      <c r="O146" s="8" t="n"/>
      <c r="P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9">
        <f>IF(OR(E147="",G147=""),"",ROUND(G147/E147,1))</f>
        <v/>
      </c>
      <c r="I147" s="9">
        <f>IF(OR(F147="",G147=""),"",ROUND(G147/F147,2))</f>
        <v/>
      </c>
      <c r="J147" s="8" t="n"/>
      <c r="K147" s="8" t="n"/>
      <c r="L147" s="8" t="n"/>
      <c r="M147" s="8" t="n"/>
      <c r="N147" s="8" t="n"/>
      <c r="O147" s="8" t="n"/>
      <c r="P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9">
        <f>IF(OR(E148="",G148=""),"",ROUND(G148/E148,1))</f>
        <v/>
      </c>
      <c r="I148" s="9">
        <f>IF(OR(F148="",G148=""),"",ROUND(G148/F148,2))</f>
        <v/>
      </c>
      <c r="J148" s="8" t="n"/>
      <c r="K148" s="8" t="n"/>
      <c r="L148" s="8" t="n"/>
      <c r="M148" s="8" t="n"/>
      <c r="N148" s="8" t="n"/>
      <c r="O148" s="8" t="n"/>
      <c r="P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9">
        <f>IF(OR(E149="",G149=""),"",ROUND(G149/E149,1))</f>
        <v/>
      </c>
      <c r="I149" s="9">
        <f>IF(OR(F149="",G149=""),"",ROUND(G149/F149,2))</f>
        <v/>
      </c>
      <c r="J149" s="8" t="n"/>
      <c r="K149" s="8" t="n"/>
      <c r="L149" s="8" t="n"/>
      <c r="M149" s="8" t="n"/>
      <c r="N149" s="8" t="n"/>
      <c r="O149" s="8" t="n"/>
      <c r="P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9">
        <f>IF(OR(E150="",G150=""),"",ROUND(G150/E150,1))</f>
        <v/>
      </c>
      <c r="I150" s="9">
        <f>IF(OR(F150="",G150=""),"",ROUND(G150/F150,2))</f>
        <v/>
      </c>
      <c r="J150" s="8" t="n"/>
      <c r="K150" s="8" t="n"/>
      <c r="L150" s="8" t="n"/>
      <c r="M150" s="8" t="n"/>
      <c r="N150" s="8" t="n"/>
      <c r="O150" s="8" t="n"/>
      <c r="P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9">
        <f>IF(OR(E151="",G151=""),"",ROUND(G151/E151,1))</f>
        <v/>
      </c>
      <c r="I151" s="9">
        <f>IF(OR(F151="",G151=""),"",ROUND(G151/F151,2))</f>
        <v/>
      </c>
      <c r="J151" s="8" t="n"/>
      <c r="K151" s="8" t="n"/>
      <c r="L151" s="8" t="n"/>
      <c r="M151" s="8" t="n"/>
      <c r="N151" s="8" t="n"/>
      <c r="O151" s="8" t="n"/>
      <c r="P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9">
        <f>IF(OR(E152="",G152=""),"",ROUND(G152/E152,1))</f>
        <v/>
      </c>
      <c r="I152" s="9">
        <f>IF(OR(F152="",G152=""),"",ROUND(G152/F152,2))</f>
        <v/>
      </c>
      <c r="J152" s="8" t="n"/>
      <c r="K152" s="8" t="n"/>
      <c r="L152" s="8" t="n"/>
      <c r="M152" s="8" t="n"/>
      <c r="N152" s="8" t="n"/>
      <c r="O152" s="8" t="n"/>
      <c r="P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9">
        <f>IF(OR(E153="",G153=""),"",ROUND(G153/E153,1))</f>
        <v/>
      </c>
      <c r="I153" s="9">
        <f>IF(OR(F153="",G153=""),"",ROUND(G153/F153,2))</f>
        <v/>
      </c>
      <c r="J153" s="8" t="n"/>
      <c r="K153" s="8" t="n"/>
      <c r="L153" s="8" t="n"/>
      <c r="M153" s="8" t="n"/>
      <c r="N153" s="8" t="n"/>
      <c r="O153" s="8" t="n"/>
      <c r="P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9">
        <f>IF(OR(E154="",G154=""),"",ROUND(G154/E154,1))</f>
        <v/>
      </c>
      <c r="I154" s="9">
        <f>IF(OR(F154="",G154=""),"",ROUND(G154/F154,2))</f>
        <v/>
      </c>
      <c r="J154" s="8" t="n"/>
      <c r="K154" s="8" t="n"/>
      <c r="L154" s="8" t="n"/>
      <c r="M154" s="8" t="n"/>
      <c r="N154" s="8" t="n"/>
      <c r="O154" s="8" t="n"/>
      <c r="P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9">
        <f>IF(OR(E155="",G155=""),"",ROUND(G155/E155,1))</f>
        <v/>
      </c>
      <c r="I155" s="9">
        <f>IF(OR(F155="",G155=""),"",ROUND(G155/F155,2))</f>
        <v/>
      </c>
      <c r="J155" s="8" t="n"/>
      <c r="K155" s="8" t="n"/>
      <c r="L155" s="8" t="n"/>
      <c r="M155" s="8" t="n"/>
      <c r="N155" s="8" t="n"/>
      <c r="O155" s="8" t="n"/>
      <c r="P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9">
        <f>IF(OR(E156="",G156=""),"",ROUND(G156/E156,1))</f>
        <v/>
      </c>
      <c r="I156" s="9">
        <f>IF(OR(F156="",G156=""),"",ROUND(G156/F156,2))</f>
        <v/>
      </c>
      <c r="J156" s="8" t="n"/>
      <c r="K156" s="8" t="n"/>
      <c r="L156" s="8" t="n"/>
      <c r="M156" s="8" t="n"/>
      <c r="N156" s="8" t="n"/>
      <c r="O156" s="8" t="n"/>
      <c r="P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9">
        <f>IF(OR(E157="",G157=""),"",ROUND(G157/E157,1))</f>
        <v/>
      </c>
      <c r="I157" s="9">
        <f>IF(OR(F157="",G157=""),"",ROUND(G157/F157,2))</f>
        <v/>
      </c>
      <c r="J157" s="8" t="n"/>
      <c r="K157" s="8" t="n"/>
      <c r="L157" s="8" t="n"/>
      <c r="M157" s="8" t="n"/>
      <c r="N157" s="8" t="n"/>
      <c r="O157" s="8" t="n"/>
      <c r="P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9">
        <f>IF(OR(E158="",G158=""),"",ROUND(G158/E158,1))</f>
        <v/>
      </c>
      <c r="I158" s="9">
        <f>IF(OR(F158="",G158=""),"",ROUND(G158/F158,2))</f>
        <v/>
      </c>
      <c r="J158" s="8" t="n"/>
      <c r="K158" s="8" t="n"/>
      <c r="L158" s="8" t="n"/>
      <c r="M158" s="8" t="n"/>
      <c r="N158" s="8" t="n"/>
      <c r="O158" s="8" t="n"/>
      <c r="P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9">
        <f>IF(OR(E159="",G159=""),"",ROUND(G159/E159,1))</f>
        <v/>
      </c>
      <c r="I159" s="9">
        <f>IF(OR(F159="",G159=""),"",ROUND(G159/F159,2))</f>
        <v/>
      </c>
      <c r="J159" s="8" t="n"/>
      <c r="K159" s="8" t="n"/>
      <c r="L159" s="8" t="n"/>
      <c r="M159" s="8" t="n"/>
      <c r="N159" s="8" t="n"/>
      <c r="O159" s="8" t="n"/>
      <c r="P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9">
        <f>IF(OR(E160="",G160=""),"",ROUND(G160/E160,1))</f>
        <v/>
      </c>
      <c r="I160" s="9">
        <f>IF(OR(F160="",G160=""),"",ROUND(G160/F160,2))</f>
        <v/>
      </c>
      <c r="J160" s="8" t="n"/>
      <c r="K160" s="8" t="n"/>
      <c r="L160" s="8" t="n"/>
      <c r="M160" s="8" t="n"/>
      <c r="N160" s="8" t="n"/>
      <c r="O160" s="8" t="n"/>
      <c r="P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9">
        <f>IF(OR(E161="",G161=""),"",ROUND(G161/E161,1))</f>
        <v/>
      </c>
      <c r="I161" s="9">
        <f>IF(OR(F161="",G161=""),"",ROUND(G161/F161,2))</f>
        <v/>
      </c>
      <c r="J161" s="8" t="n"/>
      <c r="K161" s="8" t="n"/>
      <c r="L161" s="8" t="n"/>
      <c r="M161" s="8" t="n"/>
      <c r="N161" s="8" t="n"/>
      <c r="O161" s="8" t="n"/>
      <c r="P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9">
        <f>IF(OR(E162="",G162=""),"",ROUND(G162/E162,1))</f>
        <v/>
      </c>
      <c r="I162" s="9">
        <f>IF(OR(F162="",G162=""),"",ROUND(G162/F162,2))</f>
        <v/>
      </c>
      <c r="J162" s="8" t="n"/>
      <c r="K162" s="8" t="n"/>
      <c r="L162" s="8" t="n"/>
      <c r="M162" s="8" t="n"/>
      <c r="N162" s="8" t="n"/>
      <c r="O162" s="8" t="n"/>
      <c r="P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9">
        <f>IF(OR(E163="",G163=""),"",ROUND(G163/E163,1))</f>
        <v/>
      </c>
      <c r="I163" s="9">
        <f>IF(OR(F163="",G163=""),"",ROUND(G163/F163,2))</f>
        <v/>
      </c>
      <c r="J163" s="8" t="n"/>
      <c r="K163" s="8" t="n"/>
      <c r="L163" s="8" t="n"/>
      <c r="M163" s="8" t="n"/>
      <c r="N163" s="8" t="n"/>
      <c r="O163" s="8" t="n"/>
      <c r="P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9">
        <f>IF(OR(E164="",G164=""),"",ROUND(G164/E164,1))</f>
        <v/>
      </c>
      <c r="I164" s="9">
        <f>IF(OR(F164="",G164=""),"",ROUND(G164/F164,2))</f>
        <v/>
      </c>
      <c r="J164" s="8" t="n"/>
      <c r="K164" s="8" t="n"/>
      <c r="L164" s="8" t="n"/>
      <c r="M164" s="8" t="n"/>
      <c r="N164" s="8" t="n"/>
      <c r="O164" s="8" t="n"/>
      <c r="P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9">
        <f>IF(OR(E165="",G165=""),"",ROUND(G165/E165,1))</f>
        <v/>
      </c>
      <c r="I165" s="9">
        <f>IF(OR(F165="",G165=""),"",ROUND(G165/F165,2))</f>
        <v/>
      </c>
      <c r="J165" s="8" t="n"/>
      <c r="K165" s="8" t="n"/>
      <c r="L165" s="8" t="n"/>
      <c r="M165" s="8" t="n"/>
      <c r="N165" s="8" t="n"/>
      <c r="O165" s="8" t="n"/>
      <c r="P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9">
        <f>IF(OR(E166="",G166=""),"",ROUND(G166/E166,1))</f>
        <v/>
      </c>
      <c r="I166" s="9">
        <f>IF(OR(F166="",G166=""),"",ROUND(G166/F166,2))</f>
        <v/>
      </c>
      <c r="J166" s="8" t="n"/>
      <c r="K166" s="8" t="n"/>
      <c r="L166" s="8" t="n"/>
      <c r="M166" s="8" t="n"/>
      <c r="N166" s="8" t="n"/>
      <c r="O166" s="8" t="n"/>
      <c r="P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9">
        <f>IF(OR(E167="",G167=""),"",ROUND(G167/E167,1))</f>
        <v/>
      </c>
      <c r="I167" s="9">
        <f>IF(OR(F167="",G167=""),"",ROUND(G167/F167,2))</f>
        <v/>
      </c>
      <c r="J167" s="8" t="n"/>
      <c r="K167" s="8" t="n"/>
      <c r="L167" s="8" t="n"/>
      <c r="M167" s="8" t="n"/>
      <c r="N167" s="8" t="n"/>
      <c r="O167" s="8" t="n"/>
      <c r="P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9">
        <f>IF(OR(E168="",G168=""),"",ROUND(G168/E168,1))</f>
        <v/>
      </c>
      <c r="I168" s="9">
        <f>IF(OR(F168="",G168=""),"",ROUND(G168/F168,2))</f>
        <v/>
      </c>
      <c r="J168" s="8" t="n"/>
      <c r="K168" s="8" t="n"/>
      <c r="L168" s="8" t="n"/>
      <c r="M168" s="8" t="n"/>
      <c r="N168" s="8" t="n"/>
      <c r="O168" s="8" t="n"/>
      <c r="P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9">
        <f>IF(OR(E169="",G169=""),"",ROUND(G169/E169,1))</f>
        <v/>
      </c>
      <c r="I169" s="9">
        <f>IF(OR(F169="",G169=""),"",ROUND(G169/F169,2))</f>
        <v/>
      </c>
      <c r="J169" s="8" t="n"/>
      <c r="K169" s="8" t="n"/>
      <c r="L169" s="8" t="n"/>
      <c r="M169" s="8" t="n"/>
      <c r="N169" s="8" t="n"/>
      <c r="O169" s="8" t="n"/>
      <c r="P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9">
        <f>IF(OR(E170="",G170=""),"",ROUND(G170/E170,1))</f>
        <v/>
      </c>
      <c r="I170" s="9">
        <f>IF(OR(F170="",G170=""),"",ROUND(G170/F170,2))</f>
        <v/>
      </c>
      <c r="J170" s="8" t="n"/>
      <c r="K170" s="8" t="n"/>
      <c r="L170" s="8" t="n"/>
      <c r="M170" s="8" t="n"/>
      <c r="N170" s="8" t="n"/>
      <c r="O170" s="8" t="n"/>
      <c r="P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9">
        <f>IF(OR(E171="",G171=""),"",ROUND(G171/E171,1))</f>
        <v/>
      </c>
      <c r="I171" s="9">
        <f>IF(OR(F171="",G171=""),"",ROUND(G171/F171,2))</f>
        <v/>
      </c>
      <c r="J171" s="8" t="n"/>
      <c r="K171" s="8" t="n"/>
      <c r="L171" s="8" t="n"/>
      <c r="M171" s="8" t="n"/>
      <c r="N171" s="8" t="n"/>
      <c r="O171" s="8" t="n"/>
      <c r="P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9">
        <f>IF(OR(E172="",G172=""),"",ROUND(G172/E172,1))</f>
        <v/>
      </c>
      <c r="I172" s="9">
        <f>IF(OR(F172="",G172=""),"",ROUND(G172/F172,2))</f>
        <v/>
      </c>
      <c r="J172" s="8" t="n"/>
      <c r="K172" s="8" t="n"/>
      <c r="L172" s="8" t="n"/>
      <c r="M172" s="8" t="n"/>
      <c r="N172" s="8" t="n"/>
      <c r="O172" s="8" t="n"/>
      <c r="P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9">
        <f>IF(OR(E173="",G173=""),"",ROUND(G173/E173,1))</f>
        <v/>
      </c>
      <c r="I173" s="9">
        <f>IF(OR(F173="",G173=""),"",ROUND(G173/F173,2))</f>
        <v/>
      </c>
      <c r="J173" s="8" t="n"/>
      <c r="K173" s="8" t="n"/>
      <c r="L173" s="8" t="n"/>
      <c r="M173" s="8" t="n"/>
      <c r="N173" s="8" t="n"/>
      <c r="O173" s="8" t="n"/>
      <c r="P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9">
        <f>IF(OR(E174="",G174=""),"",ROUND(G174/E174,1))</f>
        <v/>
      </c>
      <c r="I174" s="9">
        <f>IF(OR(F174="",G174=""),"",ROUND(G174/F174,2))</f>
        <v/>
      </c>
      <c r="J174" s="8" t="n"/>
      <c r="K174" s="8" t="n"/>
      <c r="L174" s="8" t="n"/>
      <c r="M174" s="8" t="n"/>
      <c r="N174" s="8" t="n"/>
      <c r="O174" s="8" t="n"/>
      <c r="P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9">
        <f>IF(OR(E175="",G175=""),"",ROUND(G175/E175,1))</f>
        <v/>
      </c>
      <c r="I175" s="9">
        <f>IF(OR(F175="",G175=""),"",ROUND(G175/F175,2))</f>
        <v/>
      </c>
      <c r="J175" s="8" t="n"/>
      <c r="K175" s="8" t="n"/>
      <c r="L175" s="8" t="n"/>
      <c r="M175" s="8" t="n"/>
      <c r="N175" s="8" t="n"/>
      <c r="O175" s="8" t="n"/>
      <c r="P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9">
        <f>IF(OR(E176="",G176=""),"",ROUND(G176/E176,1))</f>
        <v/>
      </c>
      <c r="I176" s="9">
        <f>IF(OR(F176="",G176=""),"",ROUND(G176/F176,2))</f>
        <v/>
      </c>
      <c r="J176" s="8" t="n"/>
      <c r="K176" s="8" t="n"/>
      <c r="L176" s="8" t="n"/>
      <c r="M176" s="8" t="n"/>
      <c r="N176" s="8" t="n"/>
      <c r="O176" s="8" t="n"/>
      <c r="P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9">
        <f>IF(OR(E177="",G177=""),"",ROUND(G177/E177,1))</f>
        <v/>
      </c>
      <c r="I177" s="9">
        <f>IF(OR(F177="",G177=""),"",ROUND(G177/F177,2))</f>
        <v/>
      </c>
      <c r="J177" s="8" t="n"/>
      <c r="K177" s="8" t="n"/>
      <c r="L177" s="8" t="n"/>
      <c r="M177" s="8" t="n"/>
      <c r="N177" s="8" t="n"/>
      <c r="O177" s="8" t="n"/>
      <c r="P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9">
        <f>IF(OR(E178="",G178=""),"",ROUND(G178/E178,1))</f>
        <v/>
      </c>
      <c r="I178" s="9">
        <f>IF(OR(F178="",G178=""),"",ROUND(G178/F178,2))</f>
        <v/>
      </c>
      <c r="J178" s="8" t="n"/>
      <c r="K178" s="8" t="n"/>
      <c r="L178" s="8" t="n"/>
      <c r="M178" s="8" t="n"/>
      <c r="N178" s="8" t="n"/>
      <c r="O178" s="8" t="n"/>
      <c r="P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9">
        <f>IF(OR(E179="",G179=""),"",ROUND(G179/E179,1))</f>
        <v/>
      </c>
      <c r="I179" s="9">
        <f>IF(OR(F179="",G179=""),"",ROUND(G179/F179,2))</f>
        <v/>
      </c>
      <c r="J179" s="8" t="n"/>
      <c r="K179" s="8" t="n"/>
      <c r="L179" s="8" t="n"/>
      <c r="M179" s="8" t="n"/>
      <c r="N179" s="8" t="n"/>
      <c r="O179" s="8" t="n"/>
      <c r="P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9">
        <f>IF(OR(E180="",G180=""),"",ROUND(G180/E180,1))</f>
        <v/>
      </c>
      <c r="I180" s="9">
        <f>IF(OR(F180="",G180=""),"",ROUND(G180/F180,2))</f>
        <v/>
      </c>
      <c r="J180" s="8" t="n"/>
      <c r="K180" s="8" t="n"/>
      <c r="L180" s="8" t="n"/>
      <c r="M180" s="8" t="n"/>
      <c r="N180" s="8" t="n"/>
      <c r="O180" s="8" t="n"/>
      <c r="P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9">
        <f>IF(OR(E181="",G181=""),"",ROUND(G181/E181,1))</f>
        <v/>
      </c>
      <c r="I181" s="9">
        <f>IF(OR(F181="",G181=""),"",ROUND(G181/F181,2))</f>
        <v/>
      </c>
      <c r="J181" s="8" t="n"/>
      <c r="K181" s="8" t="n"/>
      <c r="L181" s="8" t="n"/>
      <c r="M181" s="8" t="n"/>
      <c r="N181" s="8" t="n"/>
      <c r="O181" s="8" t="n"/>
      <c r="P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9">
        <f>IF(OR(E182="",G182=""),"",ROUND(G182/E182,1))</f>
        <v/>
      </c>
      <c r="I182" s="9">
        <f>IF(OR(F182="",G182=""),"",ROUND(G182/F182,2))</f>
        <v/>
      </c>
      <c r="J182" s="8" t="n"/>
      <c r="K182" s="8" t="n"/>
      <c r="L182" s="8" t="n"/>
      <c r="M182" s="8" t="n"/>
      <c r="N182" s="8" t="n"/>
      <c r="O182" s="8" t="n"/>
      <c r="P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9">
        <f>IF(OR(E183="",G183=""),"",ROUND(G183/E183,1))</f>
        <v/>
      </c>
      <c r="I183" s="9">
        <f>IF(OR(F183="",G183=""),"",ROUND(G183/F183,2))</f>
        <v/>
      </c>
      <c r="J183" s="8" t="n"/>
      <c r="K183" s="8" t="n"/>
      <c r="L183" s="8" t="n"/>
      <c r="M183" s="8" t="n"/>
      <c r="N183" s="8" t="n"/>
      <c r="O183" s="8" t="n"/>
      <c r="P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9">
        <f>IF(OR(E184="",G184=""),"",ROUND(G184/E184,1))</f>
        <v/>
      </c>
      <c r="I184" s="9">
        <f>IF(OR(F184="",G184=""),"",ROUND(G184/F184,2))</f>
        <v/>
      </c>
      <c r="J184" s="8" t="n"/>
      <c r="K184" s="8" t="n"/>
      <c r="L184" s="8" t="n"/>
      <c r="M184" s="8" t="n"/>
      <c r="N184" s="8" t="n"/>
      <c r="O184" s="8" t="n"/>
      <c r="P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9">
        <f>IF(OR(E185="",G185=""),"",ROUND(G185/E185,1))</f>
        <v/>
      </c>
      <c r="I185" s="9">
        <f>IF(OR(F185="",G185=""),"",ROUND(G185/F185,2))</f>
        <v/>
      </c>
      <c r="J185" s="8" t="n"/>
      <c r="K185" s="8" t="n"/>
      <c r="L185" s="8" t="n"/>
      <c r="M185" s="8" t="n"/>
      <c r="N185" s="8" t="n"/>
      <c r="O185" s="8" t="n"/>
      <c r="P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9">
        <f>IF(OR(E186="",G186=""),"",ROUND(G186/E186,1))</f>
        <v/>
      </c>
      <c r="I186" s="9">
        <f>IF(OR(F186="",G186=""),"",ROUND(G186/F186,2))</f>
        <v/>
      </c>
      <c r="J186" s="8" t="n"/>
      <c r="K186" s="8" t="n"/>
      <c r="L186" s="8" t="n"/>
      <c r="M186" s="8" t="n"/>
      <c r="N186" s="8" t="n"/>
      <c r="O186" s="8" t="n"/>
      <c r="P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9">
        <f>IF(OR(E187="",G187=""),"",ROUND(G187/E187,1))</f>
        <v/>
      </c>
      <c r="I187" s="9">
        <f>IF(OR(F187="",G187=""),"",ROUND(G187/F187,2))</f>
        <v/>
      </c>
      <c r="J187" s="8" t="n"/>
      <c r="K187" s="8" t="n"/>
      <c r="L187" s="8" t="n"/>
      <c r="M187" s="8" t="n"/>
      <c r="N187" s="8" t="n"/>
      <c r="O187" s="8" t="n"/>
      <c r="P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9">
        <f>IF(OR(E188="",G188=""),"",ROUND(G188/E188,1))</f>
        <v/>
      </c>
      <c r="I188" s="9">
        <f>IF(OR(F188="",G188=""),"",ROUND(G188/F188,2))</f>
        <v/>
      </c>
      <c r="J188" s="8" t="n"/>
      <c r="K188" s="8" t="n"/>
      <c r="L188" s="8" t="n"/>
      <c r="M188" s="8" t="n"/>
      <c r="N188" s="8" t="n"/>
      <c r="O188" s="8" t="n"/>
      <c r="P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9">
        <f>IF(OR(E189="",G189=""),"",ROUND(G189/E189,1))</f>
        <v/>
      </c>
      <c r="I189" s="9">
        <f>IF(OR(F189="",G189=""),"",ROUND(G189/F189,2))</f>
        <v/>
      </c>
      <c r="J189" s="8" t="n"/>
      <c r="K189" s="8" t="n"/>
      <c r="L189" s="8" t="n"/>
      <c r="M189" s="8" t="n"/>
      <c r="N189" s="8" t="n"/>
      <c r="O189" s="8" t="n"/>
      <c r="P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9">
        <f>IF(OR(E190="",G190=""),"",ROUND(G190/E190,1))</f>
        <v/>
      </c>
      <c r="I190" s="9">
        <f>IF(OR(F190="",G190=""),"",ROUND(G190/F190,2))</f>
        <v/>
      </c>
      <c r="J190" s="8" t="n"/>
      <c r="K190" s="8" t="n"/>
      <c r="L190" s="8" t="n"/>
      <c r="M190" s="8" t="n"/>
      <c r="N190" s="8" t="n"/>
      <c r="O190" s="8" t="n"/>
      <c r="P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9">
        <f>IF(OR(E191="",G191=""),"",ROUND(G191/E191,1))</f>
        <v/>
      </c>
      <c r="I191" s="9">
        <f>IF(OR(F191="",G191=""),"",ROUND(G191/F191,2))</f>
        <v/>
      </c>
      <c r="J191" s="8" t="n"/>
      <c r="K191" s="8" t="n"/>
      <c r="L191" s="8" t="n"/>
      <c r="M191" s="8" t="n"/>
      <c r="N191" s="8" t="n"/>
      <c r="O191" s="8" t="n"/>
      <c r="P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9">
        <f>IF(OR(E192="",G192=""),"",ROUND(G192/E192,1))</f>
        <v/>
      </c>
      <c r="I192" s="9">
        <f>IF(OR(F192="",G192=""),"",ROUND(G192/F192,2))</f>
        <v/>
      </c>
      <c r="J192" s="8" t="n"/>
      <c r="K192" s="8" t="n"/>
      <c r="L192" s="8" t="n"/>
      <c r="M192" s="8" t="n"/>
      <c r="N192" s="8" t="n"/>
      <c r="O192" s="8" t="n"/>
      <c r="P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9">
        <f>IF(OR(E193="",G193=""),"",ROUND(G193/E193,1))</f>
        <v/>
      </c>
      <c r="I193" s="9">
        <f>IF(OR(F193="",G193=""),"",ROUND(G193/F193,2))</f>
        <v/>
      </c>
      <c r="J193" s="8" t="n"/>
      <c r="K193" s="8" t="n"/>
      <c r="L193" s="8" t="n"/>
      <c r="M193" s="8" t="n"/>
      <c r="N193" s="8" t="n"/>
      <c r="O193" s="8" t="n"/>
      <c r="P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9">
        <f>IF(OR(E194="",G194=""),"",ROUND(G194/E194,1))</f>
        <v/>
      </c>
      <c r="I194" s="9">
        <f>IF(OR(F194="",G194=""),"",ROUND(G194/F194,2))</f>
        <v/>
      </c>
      <c r="J194" s="8" t="n"/>
      <c r="K194" s="8" t="n"/>
      <c r="L194" s="8" t="n"/>
      <c r="M194" s="8" t="n"/>
      <c r="N194" s="8" t="n"/>
      <c r="O194" s="8" t="n"/>
      <c r="P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9">
        <f>IF(OR(E195="",G195=""),"",ROUND(G195/E195,1))</f>
        <v/>
      </c>
      <c r="I195" s="9">
        <f>IF(OR(F195="",G195=""),"",ROUND(G195/F195,2))</f>
        <v/>
      </c>
      <c r="J195" s="8" t="n"/>
      <c r="K195" s="8" t="n"/>
      <c r="L195" s="8" t="n"/>
      <c r="M195" s="8" t="n"/>
      <c r="N195" s="8" t="n"/>
      <c r="O195" s="8" t="n"/>
      <c r="P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9">
        <f>IF(OR(E196="",G196=""),"",ROUND(G196/E196,1))</f>
        <v/>
      </c>
      <c r="I196" s="9">
        <f>IF(OR(F196="",G196=""),"",ROUND(G196/F196,2))</f>
        <v/>
      </c>
      <c r="J196" s="8" t="n"/>
      <c r="K196" s="8" t="n"/>
      <c r="L196" s="8" t="n"/>
      <c r="M196" s="8" t="n"/>
      <c r="N196" s="8" t="n"/>
      <c r="O196" s="8" t="n"/>
      <c r="P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9">
        <f>IF(OR(E197="",G197=""),"",ROUND(G197/E197,1))</f>
        <v/>
      </c>
      <c r="I197" s="9">
        <f>IF(OR(F197="",G197=""),"",ROUND(G197/F197,2))</f>
        <v/>
      </c>
      <c r="J197" s="8" t="n"/>
      <c r="K197" s="8" t="n"/>
      <c r="L197" s="8" t="n"/>
      <c r="M197" s="8" t="n"/>
      <c r="N197" s="8" t="n"/>
      <c r="O197" s="8" t="n"/>
      <c r="P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9">
        <f>IF(OR(E198="",G198=""),"",ROUND(G198/E198,1))</f>
        <v/>
      </c>
      <c r="I198" s="9">
        <f>IF(OR(F198="",G198=""),"",ROUND(G198/F198,2))</f>
        <v/>
      </c>
      <c r="J198" s="8" t="n"/>
      <c r="K198" s="8" t="n"/>
      <c r="L198" s="8" t="n"/>
      <c r="M198" s="8" t="n"/>
      <c r="N198" s="8" t="n"/>
      <c r="O198" s="8" t="n"/>
      <c r="P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9">
        <f>IF(OR(E199="",G199=""),"",ROUND(G199/E199,1))</f>
        <v/>
      </c>
      <c r="I199" s="9">
        <f>IF(OR(F199="",G199=""),"",ROUND(G199/F199,2))</f>
        <v/>
      </c>
      <c r="J199" s="8" t="n"/>
      <c r="K199" s="8" t="n"/>
      <c r="L199" s="8" t="n"/>
      <c r="M199" s="8" t="n"/>
      <c r="N199" s="8" t="n"/>
      <c r="O199" s="8" t="n"/>
      <c r="P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9">
        <f>IF(OR(E200="",G200=""),"",ROUND(G200/E200,1))</f>
        <v/>
      </c>
      <c r="I200" s="9">
        <f>IF(OR(F200="",G200=""),"",ROUND(G200/F200,2))</f>
        <v/>
      </c>
      <c r="J200" s="8" t="n"/>
      <c r="K200" s="8" t="n"/>
      <c r="L200" s="8" t="n"/>
      <c r="M200" s="8" t="n"/>
      <c r="N200" s="8" t="n"/>
      <c r="O200" s="8" t="n"/>
      <c r="P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9">
        <f>IF(OR(E201="",G201=""),"",ROUND(G201/E201,1))</f>
        <v/>
      </c>
      <c r="I201" s="9">
        <f>IF(OR(F201="",G201=""),"",ROUND(G201/F201,2))</f>
        <v/>
      </c>
      <c r="J201" s="8" t="n"/>
      <c r="K201" s="8" t="n"/>
      <c r="L201" s="8" t="n"/>
      <c r="M201" s="8" t="n"/>
      <c r="N201" s="8" t="n"/>
      <c r="O201" s="8" t="n"/>
      <c r="P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9">
        <f>IF(OR(E202="",G202=""),"",ROUND(G202/E202,1))</f>
        <v/>
      </c>
      <c r="I202" s="9">
        <f>IF(OR(F202="",G202=""),"",ROUND(G202/F202,2))</f>
        <v/>
      </c>
      <c r="J202" s="8" t="n"/>
      <c r="K202" s="8" t="n"/>
      <c r="L202" s="8" t="n"/>
      <c r="M202" s="8" t="n"/>
      <c r="N202" s="8" t="n"/>
      <c r="O202" s="8" t="n"/>
      <c r="P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9">
        <f>IF(OR(E203="",G203=""),"",ROUND(G203/E203,1))</f>
        <v/>
      </c>
      <c r="I203" s="9">
        <f>IF(OR(F203="",G203=""),"",ROUND(G203/F203,2))</f>
        <v/>
      </c>
      <c r="J203" s="8" t="n"/>
      <c r="K203" s="8" t="n"/>
      <c r="L203" s="8" t="n"/>
      <c r="M203" s="8" t="n"/>
      <c r="N203" s="8" t="n"/>
      <c r="O203" s="8" t="n"/>
      <c r="P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9">
        <f>IF(OR(E204="",G204=""),"",ROUND(G204/E204,1))</f>
        <v/>
      </c>
      <c r="I204" s="9">
        <f>IF(OR(F204="",G204=""),"",ROUND(G204/F204,2))</f>
        <v/>
      </c>
      <c r="J204" s="8" t="n"/>
      <c r="K204" s="8" t="n"/>
      <c r="L204" s="8" t="n"/>
      <c r="M204" s="8" t="n"/>
      <c r="N204" s="8" t="n"/>
      <c r="O204" s="8" t="n"/>
      <c r="P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9">
        <f>IF(OR(E205="",G205=""),"",ROUND(G205/E205,1))</f>
        <v/>
      </c>
      <c r="I205" s="9">
        <f>IF(OR(F205="",G205=""),"",ROUND(G205/F205,2))</f>
        <v/>
      </c>
      <c r="J205" s="8" t="n"/>
      <c r="K205" s="8" t="n"/>
      <c r="L205" s="8" t="n"/>
      <c r="M205" s="8" t="n"/>
      <c r="N205" s="8" t="n"/>
      <c r="O205" s="8" t="n"/>
      <c r="P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9">
        <f>IF(OR(E206="",G206=""),"",ROUND(G206/E206,1))</f>
        <v/>
      </c>
      <c r="I206" s="9">
        <f>IF(OR(F206="",G206=""),"",ROUND(G206/F206,2))</f>
        <v/>
      </c>
      <c r="J206" s="8" t="n"/>
      <c r="K206" s="8" t="n"/>
      <c r="L206" s="8" t="n"/>
      <c r="M206" s="8" t="n"/>
      <c r="N206" s="8" t="n"/>
      <c r="O206" s="8" t="n"/>
      <c r="P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9">
        <f>IF(OR(E207="",G207=""),"",ROUND(G207/E207,1))</f>
        <v/>
      </c>
      <c r="I207" s="9">
        <f>IF(OR(F207="",G207=""),"",ROUND(G207/F207,2))</f>
        <v/>
      </c>
      <c r="J207" s="8" t="n"/>
      <c r="K207" s="8" t="n"/>
      <c r="L207" s="8" t="n"/>
      <c r="M207" s="8" t="n"/>
      <c r="N207" s="8" t="n"/>
      <c r="O207" s="8" t="n"/>
      <c r="P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9">
        <f>IF(OR(E208="",G208=""),"",ROUND(G208/E208,1))</f>
        <v/>
      </c>
      <c r="I208" s="9">
        <f>IF(OR(F208="",G208=""),"",ROUND(G208/F208,2))</f>
        <v/>
      </c>
      <c r="J208" s="8" t="n"/>
      <c r="K208" s="8" t="n"/>
      <c r="L208" s="8" t="n"/>
      <c r="M208" s="8" t="n"/>
      <c r="N208" s="8" t="n"/>
      <c r="O208" s="8" t="n"/>
      <c r="P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9">
        <f>IF(OR(E209="",G209=""),"",ROUND(G209/E209,1))</f>
        <v/>
      </c>
      <c r="I209" s="9">
        <f>IF(OR(F209="",G209=""),"",ROUND(G209/F209,2))</f>
        <v/>
      </c>
      <c r="J209" s="8" t="n"/>
      <c r="K209" s="8" t="n"/>
      <c r="L209" s="8" t="n"/>
      <c r="M209" s="8" t="n"/>
      <c r="N209" s="8" t="n"/>
      <c r="O209" s="8" t="n"/>
      <c r="P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9">
        <f>IF(OR(E210="",G210=""),"",ROUND(G210/E210,1))</f>
        <v/>
      </c>
      <c r="I210" s="9">
        <f>IF(OR(F210="",G210=""),"",ROUND(G210/F210,2))</f>
        <v/>
      </c>
      <c r="J210" s="8" t="n"/>
      <c r="K210" s="8" t="n"/>
      <c r="L210" s="8" t="n"/>
      <c r="M210" s="8" t="n"/>
      <c r="N210" s="8" t="n"/>
      <c r="O210" s="8" t="n"/>
      <c r="P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9">
        <f>IF(OR(E211="",G211=""),"",ROUND(G211/E211,1))</f>
        <v/>
      </c>
      <c r="I211" s="9">
        <f>IF(OR(F211="",G211=""),"",ROUND(G211/F211,2))</f>
        <v/>
      </c>
      <c r="J211" s="8" t="n"/>
      <c r="K211" s="8" t="n"/>
      <c r="L211" s="8" t="n"/>
      <c r="M211" s="8" t="n"/>
      <c r="N211" s="8" t="n"/>
      <c r="O211" s="8" t="n"/>
      <c r="P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9">
        <f>IF(OR(E212="",G212=""),"",ROUND(G212/E212,1))</f>
        <v/>
      </c>
      <c r="I212" s="9">
        <f>IF(OR(F212="",G212=""),"",ROUND(G212/F212,2))</f>
        <v/>
      </c>
      <c r="J212" s="8" t="n"/>
      <c r="K212" s="8" t="n"/>
      <c r="L212" s="8" t="n"/>
      <c r="M212" s="8" t="n"/>
      <c r="N212" s="8" t="n"/>
      <c r="O212" s="8" t="n"/>
      <c r="P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9">
        <f>IF(OR(E213="",G213=""),"",ROUND(G213/E213,1))</f>
        <v/>
      </c>
      <c r="I213" s="9">
        <f>IF(OR(F213="",G213=""),"",ROUND(G213/F213,2))</f>
        <v/>
      </c>
      <c r="J213" s="8" t="n"/>
      <c r="K213" s="8" t="n"/>
      <c r="L213" s="8" t="n"/>
      <c r="M213" s="8" t="n"/>
      <c r="N213" s="8" t="n"/>
      <c r="O213" s="8" t="n"/>
      <c r="P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9">
        <f>IF(OR(E214="",G214=""),"",ROUND(G214/E214,1))</f>
        <v/>
      </c>
      <c r="I214" s="9">
        <f>IF(OR(F214="",G214=""),"",ROUND(G214/F214,2))</f>
        <v/>
      </c>
      <c r="J214" s="8" t="n"/>
      <c r="K214" s="8" t="n"/>
      <c r="L214" s="8" t="n"/>
      <c r="M214" s="8" t="n"/>
      <c r="N214" s="8" t="n"/>
      <c r="O214" s="8" t="n"/>
      <c r="P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9">
        <f>IF(OR(E215="",G215=""),"",ROUND(G215/E215,1))</f>
        <v/>
      </c>
      <c r="I215" s="9">
        <f>IF(OR(F215="",G215=""),"",ROUND(G215/F215,2))</f>
        <v/>
      </c>
      <c r="J215" s="8" t="n"/>
      <c r="K215" s="8" t="n"/>
      <c r="L215" s="8" t="n"/>
      <c r="M215" s="8" t="n"/>
      <c r="N215" s="8" t="n"/>
      <c r="O215" s="8" t="n"/>
      <c r="P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9">
        <f>IF(OR(E216="",G216=""),"",ROUND(G216/E216,1))</f>
        <v/>
      </c>
      <c r="I216" s="9">
        <f>IF(OR(F216="",G216=""),"",ROUND(G216/F216,2))</f>
        <v/>
      </c>
      <c r="J216" s="8" t="n"/>
      <c r="K216" s="8" t="n"/>
      <c r="L216" s="8" t="n"/>
      <c r="M216" s="8" t="n"/>
      <c r="N216" s="8" t="n"/>
      <c r="O216" s="8" t="n"/>
      <c r="P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9">
        <f>IF(OR(E217="",G217=""),"",ROUND(G217/E217,1))</f>
        <v/>
      </c>
      <c r="I217" s="9">
        <f>IF(OR(F217="",G217=""),"",ROUND(G217/F217,2))</f>
        <v/>
      </c>
      <c r="J217" s="8" t="n"/>
      <c r="K217" s="8" t="n"/>
      <c r="L217" s="8" t="n"/>
      <c r="M217" s="8" t="n"/>
      <c r="N217" s="8" t="n"/>
      <c r="O217" s="8" t="n"/>
      <c r="P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9">
        <f>IF(OR(E218="",G218=""),"",ROUND(G218/E218,1))</f>
        <v/>
      </c>
      <c r="I218" s="9">
        <f>IF(OR(F218="",G218=""),"",ROUND(G218/F218,2))</f>
        <v/>
      </c>
      <c r="J218" s="8" t="n"/>
      <c r="K218" s="8" t="n"/>
      <c r="L218" s="8" t="n"/>
      <c r="M218" s="8" t="n"/>
      <c r="N218" s="8" t="n"/>
      <c r="O218" s="8" t="n"/>
      <c r="P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9">
        <f>IF(OR(E219="",G219=""),"",ROUND(G219/E219,1))</f>
        <v/>
      </c>
      <c r="I219" s="9">
        <f>IF(OR(F219="",G219=""),"",ROUND(G219/F219,2))</f>
        <v/>
      </c>
      <c r="J219" s="8" t="n"/>
      <c r="K219" s="8" t="n"/>
      <c r="L219" s="8" t="n"/>
      <c r="M219" s="8" t="n"/>
      <c r="N219" s="8" t="n"/>
      <c r="O219" s="8" t="n"/>
      <c r="P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9">
        <f>IF(OR(E220="",G220=""),"",ROUND(G220/E220,1))</f>
        <v/>
      </c>
      <c r="I220" s="9">
        <f>IF(OR(F220="",G220=""),"",ROUND(G220/F220,2))</f>
        <v/>
      </c>
      <c r="J220" s="8" t="n"/>
      <c r="K220" s="8" t="n"/>
      <c r="L220" s="8" t="n"/>
      <c r="M220" s="8" t="n"/>
      <c r="N220" s="8" t="n"/>
      <c r="O220" s="8" t="n"/>
      <c r="P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9">
        <f>IF(OR(E221="",G221=""),"",ROUND(G221/E221,1))</f>
        <v/>
      </c>
      <c r="I221" s="9">
        <f>IF(OR(F221="",G221=""),"",ROUND(G221/F221,2))</f>
        <v/>
      </c>
      <c r="J221" s="8" t="n"/>
      <c r="K221" s="8" t="n"/>
      <c r="L221" s="8" t="n"/>
      <c r="M221" s="8" t="n"/>
      <c r="N221" s="8" t="n"/>
      <c r="O221" s="8" t="n"/>
      <c r="P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9">
        <f>IF(OR(E222="",G222=""),"",ROUND(G222/E222,1))</f>
        <v/>
      </c>
      <c r="I222" s="9">
        <f>IF(OR(F222="",G222=""),"",ROUND(G222/F222,2))</f>
        <v/>
      </c>
      <c r="J222" s="8" t="n"/>
      <c r="K222" s="8" t="n"/>
      <c r="L222" s="8" t="n"/>
      <c r="M222" s="8" t="n"/>
      <c r="N222" s="8" t="n"/>
      <c r="O222" s="8" t="n"/>
      <c r="P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9">
        <f>IF(OR(E223="",G223=""),"",ROUND(G223/E223,1))</f>
        <v/>
      </c>
      <c r="I223" s="9">
        <f>IF(OR(F223="",G223=""),"",ROUND(G223/F223,2))</f>
        <v/>
      </c>
      <c r="J223" s="8" t="n"/>
      <c r="K223" s="8" t="n"/>
      <c r="L223" s="8" t="n"/>
      <c r="M223" s="8" t="n"/>
      <c r="N223" s="8" t="n"/>
      <c r="O223" s="8" t="n"/>
      <c r="P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9">
        <f>IF(OR(E224="",G224=""),"",ROUND(G224/E224,1))</f>
        <v/>
      </c>
      <c r="I224" s="9">
        <f>IF(OR(F224="",G224=""),"",ROUND(G224/F224,2))</f>
        <v/>
      </c>
      <c r="J224" s="8" t="n"/>
      <c r="K224" s="8" t="n"/>
      <c r="L224" s="8" t="n"/>
      <c r="M224" s="8" t="n"/>
      <c r="N224" s="8" t="n"/>
      <c r="O224" s="8" t="n"/>
      <c r="P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9">
        <f>IF(OR(E225="",G225=""),"",ROUND(G225/E225,1))</f>
        <v/>
      </c>
      <c r="I225" s="9">
        <f>IF(OR(F225="",G225=""),"",ROUND(G225/F225,2))</f>
        <v/>
      </c>
      <c r="J225" s="8" t="n"/>
      <c r="K225" s="8" t="n"/>
      <c r="L225" s="8" t="n"/>
      <c r="M225" s="8" t="n"/>
      <c r="N225" s="8" t="n"/>
      <c r="O225" s="8" t="n"/>
      <c r="P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9">
        <f>IF(OR(E226="",G226=""),"",ROUND(G226/E226,1))</f>
        <v/>
      </c>
      <c r="I226" s="9">
        <f>IF(OR(F226="",G226=""),"",ROUND(G226/F226,2))</f>
        <v/>
      </c>
      <c r="J226" s="8" t="n"/>
      <c r="K226" s="8" t="n"/>
      <c r="L226" s="8" t="n"/>
      <c r="M226" s="8" t="n"/>
      <c r="N226" s="8" t="n"/>
      <c r="O226" s="8" t="n"/>
      <c r="P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9">
        <f>IF(OR(E227="",G227=""),"",ROUND(G227/E227,1))</f>
        <v/>
      </c>
      <c r="I227" s="9">
        <f>IF(OR(F227="",G227=""),"",ROUND(G227/F227,2))</f>
        <v/>
      </c>
      <c r="J227" s="8" t="n"/>
      <c r="K227" s="8" t="n"/>
      <c r="L227" s="8" t="n"/>
      <c r="M227" s="8" t="n"/>
      <c r="N227" s="8" t="n"/>
      <c r="O227" s="8" t="n"/>
      <c r="P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9">
        <f>IF(OR(E228="",G228=""),"",ROUND(G228/E228,1))</f>
        <v/>
      </c>
      <c r="I228" s="9">
        <f>IF(OR(F228="",G228=""),"",ROUND(G228/F228,2))</f>
        <v/>
      </c>
      <c r="J228" s="8" t="n"/>
      <c r="K228" s="8" t="n"/>
      <c r="L228" s="8" t="n"/>
      <c r="M228" s="8" t="n"/>
      <c r="N228" s="8" t="n"/>
      <c r="O228" s="8" t="n"/>
      <c r="P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9">
        <f>IF(OR(E229="",G229=""),"",ROUND(G229/E229,1))</f>
        <v/>
      </c>
      <c r="I229" s="9">
        <f>IF(OR(F229="",G229=""),"",ROUND(G229/F229,2))</f>
        <v/>
      </c>
      <c r="J229" s="8" t="n"/>
      <c r="K229" s="8" t="n"/>
      <c r="L229" s="8" t="n"/>
      <c r="M229" s="8" t="n"/>
      <c r="N229" s="8" t="n"/>
      <c r="O229" s="8" t="n"/>
      <c r="P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9">
        <f>IF(OR(E230="",G230=""),"",ROUND(G230/E230,1))</f>
        <v/>
      </c>
      <c r="I230" s="9">
        <f>IF(OR(F230="",G230=""),"",ROUND(G230/F230,2))</f>
        <v/>
      </c>
      <c r="J230" s="8" t="n"/>
      <c r="K230" s="8" t="n"/>
      <c r="L230" s="8" t="n"/>
      <c r="M230" s="8" t="n"/>
      <c r="N230" s="8" t="n"/>
      <c r="O230" s="8" t="n"/>
      <c r="P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9">
        <f>IF(OR(E231="",G231=""),"",ROUND(G231/E231,1))</f>
        <v/>
      </c>
      <c r="I231" s="9">
        <f>IF(OR(F231="",G231=""),"",ROUND(G231/F231,2))</f>
        <v/>
      </c>
      <c r="J231" s="8" t="n"/>
      <c r="K231" s="8" t="n"/>
      <c r="L231" s="8" t="n"/>
      <c r="M231" s="8" t="n"/>
      <c r="N231" s="8" t="n"/>
      <c r="O231" s="8" t="n"/>
      <c r="P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9">
        <f>IF(OR(E232="",G232=""),"",ROUND(G232/E232,1))</f>
        <v/>
      </c>
      <c r="I232" s="9">
        <f>IF(OR(F232="",G232=""),"",ROUND(G232/F232,2))</f>
        <v/>
      </c>
      <c r="J232" s="8" t="n"/>
      <c r="K232" s="8" t="n"/>
      <c r="L232" s="8" t="n"/>
      <c r="M232" s="8" t="n"/>
      <c r="N232" s="8" t="n"/>
      <c r="O232" s="8" t="n"/>
      <c r="P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9">
        <f>IF(OR(E233="",G233=""),"",ROUND(G233/E233,1))</f>
        <v/>
      </c>
      <c r="I233" s="9">
        <f>IF(OR(F233="",G233=""),"",ROUND(G233/F233,2))</f>
        <v/>
      </c>
      <c r="J233" s="8" t="n"/>
      <c r="K233" s="8" t="n"/>
      <c r="L233" s="8" t="n"/>
      <c r="M233" s="8" t="n"/>
      <c r="N233" s="8" t="n"/>
      <c r="O233" s="8" t="n"/>
      <c r="P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9">
        <f>IF(OR(E234="",G234=""),"",ROUND(G234/E234,1))</f>
        <v/>
      </c>
      <c r="I234" s="9">
        <f>IF(OR(F234="",G234=""),"",ROUND(G234/F234,2))</f>
        <v/>
      </c>
      <c r="J234" s="8" t="n"/>
      <c r="K234" s="8" t="n"/>
      <c r="L234" s="8" t="n"/>
      <c r="M234" s="8" t="n"/>
      <c r="N234" s="8" t="n"/>
      <c r="O234" s="8" t="n"/>
      <c r="P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9">
        <f>IF(OR(E235="",G235=""),"",ROUND(G235/E235,1))</f>
        <v/>
      </c>
      <c r="I235" s="9">
        <f>IF(OR(F235="",G235=""),"",ROUND(G235/F235,2))</f>
        <v/>
      </c>
      <c r="J235" s="8" t="n"/>
      <c r="K235" s="8" t="n"/>
      <c r="L235" s="8" t="n"/>
      <c r="M235" s="8" t="n"/>
      <c r="N235" s="8" t="n"/>
      <c r="O235" s="8" t="n"/>
      <c r="P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9">
        <f>IF(OR(E236="",G236=""),"",ROUND(G236/E236,1))</f>
        <v/>
      </c>
      <c r="I236" s="9">
        <f>IF(OR(F236="",G236=""),"",ROUND(G236/F236,2))</f>
        <v/>
      </c>
      <c r="J236" s="8" t="n"/>
      <c r="K236" s="8" t="n"/>
      <c r="L236" s="8" t="n"/>
      <c r="M236" s="8" t="n"/>
      <c r="N236" s="8" t="n"/>
      <c r="O236" s="8" t="n"/>
      <c r="P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9">
        <f>IF(OR(E237="",G237=""),"",ROUND(G237/E237,1))</f>
        <v/>
      </c>
      <c r="I237" s="9">
        <f>IF(OR(F237="",G237=""),"",ROUND(G237/F237,2))</f>
        <v/>
      </c>
      <c r="J237" s="8" t="n"/>
      <c r="K237" s="8" t="n"/>
      <c r="L237" s="8" t="n"/>
      <c r="M237" s="8" t="n"/>
      <c r="N237" s="8" t="n"/>
      <c r="O237" s="8" t="n"/>
      <c r="P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9">
        <f>IF(OR(E238="",G238=""),"",ROUND(G238/E238,1))</f>
        <v/>
      </c>
      <c r="I238" s="9">
        <f>IF(OR(F238="",G238=""),"",ROUND(G238/F238,2))</f>
        <v/>
      </c>
      <c r="J238" s="8" t="n"/>
      <c r="K238" s="8" t="n"/>
      <c r="L238" s="8" t="n"/>
      <c r="M238" s="8" t="n"/>
      <c r="N238" s="8" t="n"/>
      <c r="O238" s="8" t="n"/>
      <c r="P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9">
        <f>IF(OR(E239="",G239=""),"",ROUND(G239/E239,1))</f>
        <v/>
      </c>
      <c r="I239" s="9">
        <f>IF(OR(F239="",G239=""),"",ROUND(G239/F239,2))</f>
        <v/>
      </c>
      <c r="J239" s="8" t="n"/>
      <c r="K239" s="8" t="n"/>
      <c r="L239" s="8" t="n"/>
      <c r="M239" s="8" t="n"/>
      <c r="N239" s="8" t="n"/>
      <c r="O239" s="8" t="n"/>
      <c r="P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9">
        <f>IF(OR(E240="",G240=""),"",ROUND(G240/E240,1))</f>
        <v/>
      </c>
      <c r="I240" s="9">
        <f>IF(OR(F240="",G240=""),"",ROUND(G240/F240,2))</f>
        <v/>
      </c>
      <c r="J240" s="8" t="n"/>
      <c r="K240" s="8" t="n"/>
      <c r="L240" s="8" t="n"/>
      <c r="M240" s="8" t="n"/>
      <c r="N240" s="8" t="n"/>
      <c r="O240" s="8" t="n"/>
      <c r="P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9">
        <f>IF(OR(E241="",G241=""),"",ROUND(G241/E241,1))</f>
        <v/>
      </c>
      <c r="I241" s="9">
        <f>IF(OR(F241="",G241=""),"",ROUND(G241/F241,2))</f>
        <v/>
      </c>
      <c r="J241" s="8" t="n"/>
      <c r="K241" s="8" t="n"/>
      <c r="L241" s="8" t="n"/>
      <c r="M241" s="8" t="n"/>
      <c r="N241" s="8" t="n"/>
      <c r="O241" s="8" t="n"/>
      <c r="P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9">
        <f>IF(OR(E242="",G242=""),"",ROUND(G242/E242,1))</f>
        <v/>
      </c>
      <c r="I242" s="9">
        <f>IF(OR(F242="",G242=""),"",ROUND(G242/F242,2))</f>
        <v/>
      </c>
      <c r="J242" s="8" t="n"/>
      <c r="K242" s="8" t="n"/>
      <c r="L242" s="8" t="n"/>
      <c r="M242" s="8" t="n"/>
      <c r="N242" s="8" t="n"/>
      <c r="O242" s="8" t="n"/>
      <c r="P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9">
        <f>IF(OR(E243="",G243=""),"",ROUND(G243/E243,1))</f>
        <v/>
      </c>
      <c r="I243" s="9">
        <f>IF(OR(F243="",G243=""),"",ROUND(G243/F243,2))</f>
        <v/>
      </c>
      <c r="J243" s="8" t="n"/>
      <c r="K243" s="8" t="n"/>
      <c r="L243" s="8" t="n"/>
      <c r="M243" s="8" t="n"/>
      <c r="N243" s="8" t="n"/>
      <c r="O243" s="8" t="n"/>
      <c r="P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9">
        <f>IF(OR(E244="",G244=""),"",ROUND(G244/E244,1))</f>
        <v/>
      </c>
      <c r="I244" s="9">
        <f>IF(OR(F244="",G244=""),"",ROUND(G244/F244,2))</f>
        <v/>
      </c>
      <c r="J244" s="8" t="n"/>
      <c r="K244" s="8" t="n"/>
      <c r="L244" s="8" t="n"/>
      <c r="M244" s="8" t="n"/>
      <c r="N244" s="8" t="n"/>
      <c r="O244" s="8" t="n"/>
      <c r="P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9">
        <f>IF(OR(E245="",G245=""),"",ROUND(G245/E245,1))</f>
        <v/>
      </c>
      <c r="I245" s="9">
        <f>IF(OR(F245="",G245=""),"",ROUND(G245/F245,2))</f>
        <v/>
      </c>
      <c r="J245" s="8" t="n"/>
      <c r="K245" s="8" t="n"/>
      <c r="L245" s="8" t="n"/>
      <c r="M245" s="8" t="n"/>
      <c r="N245" s="8" t="n"/>
      <c r="O245" s="8" t="n"/>
      <c r="P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9">
        <f>IF(OR(E246="",G246=""),"",ROUND(G246/E246,1))</f>
        <v/>
      </c>
      <c r="I246" s="9">
        <f>IF(OR(F246="",G246=""),"",ROUND(G246/F246,2))</f>
        <v/>
      </c>
      <c r="J246" s="8" t="n"/>
      <c r="K246" s="8" t="n"/>
      <c r="L246" s="8" t="n"/>
      <c r="M246" s="8" t="n"/>
      <c r="N246" s="8" t="n"/>
      <c r="O246" s="8" t="n"/>
      <c r="P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9">
        <f>IF(OR(E247="",G247=""),"",ROUND(G247/E247,1))</f>
        <v/>
      </c>
      <c r="I247" s="9">
        <f>IF(OR(F247="",G247=""),"",ROUND(G247/F247,2))</f>
        <v/>
      </c>
      <c r="J247" s="8" t="n"/>
      <c r="K247" s="8" t="n"/>
      <c r="L247" s="8" t="n"/>
      <c r="M247" s="8" t="n"/>
      <c r="N247" s="8" t="n"/>
      <c r="O247" s="8" t="n"/>
      <c r="P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9">
        <f>IF(OR(E248="",G248=""),"",ROUND(G248/E248,1))</f>
        <v/>
      </c>
      <c r="I248" s="9">
        <f>IF(OR(F248="",G248=""),"",ROUND(G248/F248,2))</f>
        <v/>
      </c>
      <c r="J248" s="8" t="n"/>
      <c r="K248" s="8" t="n"/>
      <c r="L248" s="8" t="n"/>
      <c r="M248" s="8" t="n"/>
      <c r="N248" s="8" t="n"/>
      <c r="O248" s="8" t="n"/>
      <c r="P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9">
        <f>IF(OR(E249="",G249=""),"",ROUND(G249/E249,1))</f>
        <v/>
      </c>
      <c r="I249" s="9">
        <f>IF(OR(F249="",G249=""),"",ROUND(G249/F249,2))</f>
        <v/>
      </c>
      <c r="J249" s="8" t="n"/>
      <c r="K249" s="8" t="n"/>
      <c r="L249" s="8" t="n"/>
      <c r="M249" s="8" t="n"/>
      <c r="N249" s="8" t="n"/>
      <c r="O249" s="8" t="n"/>
      <c r="P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9">
        <f>IF(OR(E250="",G250=""),"",ROUND(G250/E250,1))</f>
        <v/>
      </c>
      <c r="I250" s="9">
        <f>IF(OR(F250="",G250=""),"",ROUND(G250/F250,2))</f>
        <v/>
      </c>
      <c r="J250" s="8" t="n"/>
      <c r="K250" s="8" t="n"/>
      <c r="L250" s="8" t="n"/>
      <c r="M250" s="8" t="n"/>
      <c r="N250" s="8" t="n"/>
      <c r="O250" s="8" t="n"/>
      <c r="P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9">
        <f>IF(OR(E251="",G251=""),"",ROUND(G251/E251,1))</f>
        <v/>
      </c>
      <c r="I251" s="9">
        <f>IF(OR(F251="",G251=""),"",ROUND(G251/F251,2))</f>
        <v/>
      </c>
      <c r="J251" s="8" t="n"/>
      <c r="K251" s="8" t="n"/>
      <c r="L251" s="8" t="n"/>
      <c r="M251" s="8" t="n"/>
      <c r="N251" s="8" t="n"/>
      <c r="O251" s="8" t="n"/>
      <c r="P251" s="8" t="n"/>
    </row>
    <row r="253">
      <c r="A253" s="2" t="inlineStr">
        <is>
          <t>↑ строки 2–4 — примеры (подсветка). Удалите/замените их своими данными.</t>
        </is>
      </c>
    </row>
  </sheetData>
  <autoFilter ref="A1:P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0" customWidth="1" min="3" max="3"/>
    <col width="16" customWidth="1" min="4" max="4"/>
    <col width="18" customWidth="1" min="5" max="5"/>
    <col width="12" customWidth="1" min="6" max="6"/>
  </cols>
  <sheetData>
    <row r="1" ht="30" customHeight="1">
      <c r="A1" s="5" t="inlineStr">
        <is>
          <t>Поисковый запрос</t>
        </is>
      </c>
      <c r="B1" s="5" t="inlineStr">
        <is>
          <t>Частотность Wordstat (мес.)</t>
        </is>
      </c>
      <c r="C1" s="5" t="inlineStr">
        <is>
          <t>Google Trends (0–100)</t>
        </is>
      </c>
      <c r="D1" s="5" t="inlineStr">
        <is>
          <t>Категория</t>
        </is>
      </c>
      <c r="E1" s="5" t="inlineStr">
        <is>
          <t>Тип запроса</t>
        </is>
      </c>
      <c r="F1" s="5" t="inlineStr">
        <is>
          <t>Дата</t>
        </is>
      </c>
    </row>
    <row r="2">
      <c r="A2" s="8" t="inlineStr">
        <is>
          <t>гель для стирки</t>
        </is>
      </c>
      <c r="B2" s="8" t="n"/>
      <c r="C2" s="8" t="n"/>
      <c r="D2" s="8" t="inlineStr">
        <is>
          <t>Стирка</t>
        </is>
      </c>
      <c r="E2" s="8" t="inlineStr">
        <is>
          <t>формат</t>
        </is>
      </c>
      <c r="F2" s="8" t="n"/>
    </row>
    <row r="3">
      <c r="A3" s="8" t="inlineStr">
        <is>
          <t>капсулы для стирки</t>
        </is>
      </c>
      <c r="B3" s="8" t="n"/>
      <c r="C3" s="8" t="n"/>
      <c r="D3" s="8" t="inlineStr">
        <is>
          <t>Стирка</t>
        </is>
      </c>
      <c r="E3" s="8" t="inlineStr">
        <is>
          <t>формат</t>
        </is>
      </c>
      <c r="F3" s="8" t="n"/>
    </row>
    <row r="4">
      <c r="A4" s="8" t="inlineStr">
        <is>
          <t>порошок стиральный</t>
        </is>
      </c>
      <c r="B4" s="8" t="n"/>
      <c r="C4" s="8" t="n"/>
      <c r="D4" s="8" t="inlineStr">
        <is>
          <t>Стирка</t>
        </is>
      </c>
      <c r="E4" s="8" t="inlineStr">
        <is>
          <t>формат</t>
        </is>
      </c>
      <c r="F4" s="8" t="n"/>
    </row>
    <row r="5">
      <c r="A5" s="8" t="inlineStr">
        <is>
          <t>гель для стирки концентрат</t>
        </is>
      </c>
      <c r="B5" s="8" t="n"/>
      <c r="C5" s="8" t="n"/>
      <c r="D5" s="8" t="inlineStr">
        <is>
          <t>Стирка</t>
        </is>
      </c>
      <c r="E5" s="8" t="inlineStr">
        <is>
          <t>формат</t>
        </is>
      </c>
      <c r="F5" s="8" t="n"/>
    </row>
    <row r="6">
      <c r="A6" s="8" t="inlineStr">
        <is>
          <t>капсулы для стирки 3 в 1</t>
        </is>
      </c>
      <c r="B6" s="8" t="n"/>
      <c r="C6" s="8" t="n"/>
      <c r="D6" s="8" t="inlineStr">
        <is>
          <t>Стирка</t>
        </is>
      </c>
      <c r="E6" s="8" t="inlineStr">
        <is>
          <t>формат</t>
        </is>
      </c>
      <c r="F6" s="8" t="n"/>
    </row>
    <row r="7">
      <c r="A7" s="8" t="inlineStr">
        <is>
          <t>экологичный гель для стирки</t>
        </is>
      </c>
      <c r="B7" s="8" t="n"/>
      <c r="C7" s="8" t="n"/>
      <c r="D7" s="8" t="inlineStr">
        <is>
          <t>Стирка</t>
        </is>
      </c>
      <c r="E7" s="8" t="inlineStr">
        <is>
          <t>эко</t>
        </is>
      </c>
      <c r="F7" s="8" t="n"/>
    </row>
    <row r="8">
      <c r="A8" s="8" t="inlineStr">
        <is>
          <t>эко средство для мытья посуды</t>
        </is>
      </c>
      <c r="B8" s="8" t="n"/>
      <c r="C8" s="8" t="n"/>
      <c r="D8" s="8" t="inlineStr">
        <is>
          <t>Посуда</t>
        </is>
      </c>
      <c r="E8" s="8" t="inlineStr">
        <is>
          <t>эко</t>
        </is>
      </c>
      <c r="F8" s="8" t="n"/>
    </row>
    <row r="9">
      <c r="A9" s="8" t="inlineStr">
        <is>
          <t>гипоаллергенное средство для стирки</t>
        </is>
      </c>
      <c r="B9" s="8" t="n"/>
      <c r="C9" s="8" t="n"/>
      <c r="D9" s="8" t="inlineStr">
        <is>
          <t>Стирка</t>
        </is>
      </c>
      <c r="E9" s="8" t="inlineStr">
        <is>
          <t>эко</t>
        </is>
      </c>
      <c r="F9" s="8" t="n"/>
    </row>
    <row r="10">
      <c r="A10" s="8" t="inlineStr">
        <is>
          <t>биоразлагаемая бытовая химия</t>
        </is>
      </c>
      <c r="B10" s="8" t="n"/>
      <c r="C10" s="8" t="n"/>
      <c r="D10" s="8" t="inlineStr">
        <is>
          <t>Общее</t>
        </is>
      </c>
      <c r="E10" s="8" t="inlineStr">
        <is>
          <t>эко</t>
        </is>
      </c>
      <c r="F10" s="8" t="n"/>
    </row>
    <row r="11">
      <c r="A11" s="8" t="inlineStr">
        <is>
          <t>средство для стирки без фосфатов</t>
        </is>
      </c>
      <c r="B11" s="8" t="n"/>
      <c r="C11" s="8" t="n"/>
      <c r="D11" s="8" t="inlineStr">
        <is>
          <t>Стирка</t>
        </is>
      </c>
      <c r="E11" s="8" t="inlineStr">
        <is>
          <t>эко</t>
        </is>
      </c>
      <c r="F11" s="8" t="n"/>
    </row>
    <row r="12">
      <c r="A12" s="8" t="inlineStr">
        <is>
          <t>натуральное средство для уборки</t>
        </is>
      </c>
      <c r="B12" s="8" t="n"/>
      <c r="C12" s="8" t="n"/>
      <c r="D12" s="8" t="inlineStr">
        <is>
          <t>Чистящие</t>
        </is>
      </c>
      <c r="E12" s="8" t="inlineStr">
        <is>
          <t>эко</t>
        </is>
      </c>
      <c r="F12" s="8" t="n"/>
    </row>
    <row r="13">
      <c r="A13" s="8" t="inlineStr">
        <is>
          <t>средство для стирки для новорожденных</t>
        </is>
      </c>
      <c r="B13" s="8" t="n"/>
      <c r="C13" s="8" t="n"/>
      <c r="D13" s="8" t="inlineStr">
        <is>
          <t>Стирка</t>
        </is>
      </c>
      <c r="E13" s="8" t="inlineStr">
        <is>
          <t>эко</t>
        </is>
      </c>
      <c r="F13" s="8" t="n"/>
    </row>
    <row r="14">
      <c r="A14" s="8" t="inlineStr">
        <is>
          <t>гель для стирки без запаха</t>
        </is>
      </c>
      <c r="B14" s="8" t="n"/>
      <c r="C14" s="8" t="n"/>
      <c r="D14" s="8" t="inlineStr">
        <is>
          <t>Стирка</t>
        </is>
      </c>
      <c r="E14" s="8" t="inlineStr">
        <is>
          <t>запах</t>
        </is>
      </c>
      <c r="F14" s="8" t="n"/>
    </row>
    <row r="15">
      <c r="A15" s="8" t="inlineStr">
        <is>
          <t>кондиционер для белья лаванда</t>
        </is>
      </c>
      <c r="B15" s="8" t="n"/>
      <c r="C15" s="8" t="n"/>
      <c r="D15" s="8" t="inlineStr">
        <is>
          <t>Стирка</t>
        </is>
      </c>
      <c r="E15" s="8" t="inlineStr">
        <is>
          <t>запах</t>
        </is>
      </c>
      <c r="F15" s="8" t="n"/>
    </row>
    <row r="16">
      <c r="A16" s="8" t="inlineStr">
        <is>
          <t>средство для мытья посуды лимон</t>
        </is>
      </c>
      <c r="B16" s="8" t="n"/>
      <c r="C16" s="8" t="n"/>
      <c r="D16" s="8" t="inlineStr">
        <is>
          <t>Посуда</t>
        </is>
      </c>
      <c r="E16" s="8" t="inlineStr">
        <is>
          <t>запах</t>
        </is>
      </c>
      <c r="F16" s="8" t="n"/>
    </row>
    <row r="17">
      <c r="A17" s="8" t="inlineStr">
        <is>
          <t>освежитель воздуха эвкалипт</t>
        </is>
      </c>
      <c r="B17" s="8" t="n"/>
      <c r="C17" s="8" t="n"/>
      <c r="D17" s="8" t="inlineStr">
        <is>
          <t>Освежители</t>
        </is>
      </c>
      <c r="E17" s="8" t="inlineStr">
        <is>
          <t>запах</t>
        </is>
      </c>
      <c r="F17" s="8" t="n"/>
    </row>
    <row r="18">
      <c r="A18" s="8" t="inlineStr">
        <is>
          <t>кондиционер для белья парфюм</t>
        </is>
      </c>
      <c r="B18" s="8" t="n"/>
      <c r="C18" s="8" t="n"/>
      <c r="D18" s="8" t="inlineStr">
        <is>
          <t>Стирка</t>
        </is>
      </c>
      <c r="E18" s="8" t="inlineStr">
        <is>
          <t>запах</t>
        </is>
      </c>
      <c r="F18" s="8" t="n"/>
    </row>
    <row r="19">
      <c r="A19" s="8" t="inlineStr">
        <is>
          <t>средство для уборки морская свежесть</t>
        </is>
      </c>
      <c r="B19" s="8" t="n"/>
      <c r="C19" s="8" t="n"/>
      <c r="D19" s="8" t="inlineStr">
        <is>
          <t>Чистящие</t>
        </is>
      </c>
      <c r="E19" s="8" t="inlineStr">
        <is>
          <t>запах</t>
        </is>
      </c>
      <c r="F19" s="8" t="n"/>
    </row>
    <row r="20">
      <c r="A20" s="8" t="inlineStr">
        <is>
          <t>ароматизатор для белья</t>
        </is>
      </c>
      <c r="B20" s="8" t="n"/>
      <c r="C20" s="8" t="n"/>
      <c r="D20" s="8" t="inlineStr">
        <is>
          <t>Стирка</t>
        </is>
      </c>
      <c r="E20" s="8" t="inlineStr">
        <is>
          <t>запах</t>
        </is>
      </c>
      <c r="F20" s="8" t="n"/>
    </row>
    <row r="21">
      <c r="A21" s="8" t="inlineStr">
        <is>
          <t>средство для мытья посуды</t>
        </is>
      </c>
      <c r="B21" s="8" t="n"/>
      <c r="C21" s="8" t="n"/>
      <c r="D21" s="8" t="inlineStr">
        <is>
          <t>Посуда</t>
        </is>
      </c>
      <c r="E21" s="8" t="inlineStr">
        <is>
          <t>формат</t>
        </is>
      </c>
      <c r="F21" s="8" t="n"/>
    </row>
    <row r="22">
      <c r="A22" s="8" t="inlineStr">
        <is>
          <t>чистящее средство для ванной</t>
        </is>
      </c>
      <c r="B22" s="8" t="n"/>
      <c r="C22" s="8" t="n"/>
      <c r="D22" s="8" t="inlineStr">
        <is>
          <t>Чистящие</t>
        </is>
      </c>
      <c r="E22" s="8" t="inlineStr">
        <is>
          <t>формат</t>
        </is>
      </c>
      <c r="F22" s="8" t="n"/>
    </row>
    <row r="23">
      <c r="A23" s="8" t="inlineStr">
        <is>
          <t>средство для мытья полов</t>
        </is>
      </c>
      <c r="B23" s="8" t="n"/>
      <c r="C23" s="8" t="n"/>
      <c r="D23" s="8" t="inlineStr">
        <is>
          <t>Чистящие</t>
        </is>
      </c>
      <c r="E23" s="8" t="inlineStr">
        <is>
          <t>формат</t>
        </is>
      </c>
      <c r="F23" s="8" t="n"/>
    </row>
    <row r="24">
      <c r="A24" s="8" t="inlineStr">
        <is>
          <t>освежитель воздуха</t>
        </is>
      </c>
      <c r="B24" s="8" t="n"/>
      <c r="C24" s="8" t="n"/>
      <c r="D24" s="8" t="inlineStr">
        <is>
          <t>Освежители</t>
        </is>
      </c>
      <c r="E24" s="8" t="inlineStr">
        <is>
          <t>формат</t>
        </is>
      </c>
      <c r="F24" s="8" t="n"/>
    </row>
    <row r="25">
      <c r="A25" s="8" t="inlineStr">
        <is>
          <t>нейтрализатор запаха</t>
        </is>
      </c>
      <c r="B25" s="8" t="n"/>
      <c r="C25" s="8" t="n"/>
      <c r="D25" s="8" t="inlineStr">
        <is>
          <t>Освежители</t>
        </is>
      </c>
      <c r="E25" s="8" t="inlineStr">
        <is>
          <t>формат</t>
        </is>
      </c>
      <c r="F25" s="8" t="n"/>
    </row>
    <row r="26">
      <c r="A26" s="8" t="inlineStr">
        <is>
          <t>средство для мытья стекол</t>
        </is>
      </c>
      <c r="B26" s="8" t="n"/>
      <c r="C26" s="8" t="n"/>
      <c r="D26" s="8" t="inlineStr">
        <is>
          <t>Чистящие</t>
        </is>
      </c>
      <c r="E26" s="8" t="inlineStr">
        <is>
          <t>формат</t>
        </is>
      </c>
      <c r="F26" s="8" t="n"/>
    </row>
    <row r="27">
      <c r="A27" s="8" t="inlineStr">
        <is>
          <t>гель для унитаза</t>
        </is>
      </c>
      <c r="B27" s="8" t="n"/>
      <c r="C27" s="8" t="n"/>
      <c r="D27" s="8" t="inlineStr">
        <is>
          <t>Чистящие</t>
        </is>
      </c>
      <c r="E27" s="8" t="inlineStr">
        <is>
          <t>формат</t>
        </is>
      </c>
      <c r="F27" s="8" t="n"/>
    </row>
    <row r="28">
      <c r="A28" s="8" t="inlineStr">
        <is>
          <t>таблетки для посудомоечной машины</t>
        </is>
      </c>
      <c r="B28" s="8" t="n"/>
      <c r="C28" s="8" t="n"/>
      <c r="D28" s="8" t="inlineStr">
        <is>
          <t>Посуда</t>
        </is>
      </c>
      <c r="E28" s="8" t="inlineStr">
        <is>
          <t>формат</t>
        </is>
      </c>
      <c r="F28" s="8" t="n"/>
    </row>
    <row r="29">
      <c r="A29" s="8" t="inlineStr">
        <is>
          <t>кондиционер для белья</t>
        </is>
      </c>
      <c r="B29" s="8" t="n"/>
      <c r="C29" s="8" t="n"/>
      <c r="D29" s="8" t="inlineStr">
        <is>
          <t>Стирка</t>
        </is>
      </c>
      <c r="E29" s="8" t="inlineStr">
        <is>
          <t>формат</t>
        </is>
      </c>
      <c r="F29" s="8" t="n"/>
    </row>
    <row r="30">
      <c r="A30" s="8" t="inlineStr">
        <is>
          <t>пятновыводитель</t>
        </is>
      </c>
      <c r="B30" s="8" t="n"/>
      <c r="C30" s="8" t="n"/>
      <c r="D30" s="8" t="inlineStr">
        <is>
          <t>Стирка</t>
        </is>
      </c>
      <c r="E30" s="8" t="inlineStr">
        <is>
          <t>формат</t>
        </is>
      </c>
      <c r="F30" s="8" t="n"/>
    </row>
    <row r="31">
      <c r="A31" s="8" t="inlineStr">
        <is>
          <t>отбеливатель кислородный</t>
        </is>
      </c>
      <c r="B31" s="8" t="n"/>
      <c r="C31" s="8" t="n"/>
      <c r="D31" s="8" t="inlineStr">
        <is>
          <t>Стирка</t>
        </is>
      </c>
      <c r="E31" s="8" t="inlineStr">
        <is>
          <t>формат</t>
        </is>
      </c>
      <c r="F31" s="8" t="n"/>
    </row>
    <row r="32">
      <c r="A32" s="8" t="inlineStr">
        <is>
          <t>бытовая химия оптом</t>
        </is>
      </c>
      <c r="B32" s="8" t="n"/>
      <c r="C32" s="8" t="n"/>
      <c r="D32" s="8" t="inlineStr">
        <is>
          <t>Общее</t>
        </is>
      </c>
      <c r="E32" s="8" t="inlineStr">
        <is>
          <t>B2B</t>
        </is>
      </c>
      <c r="F32" s="8" t="n"/>
    </row>
    <row r="33">
      <c r="A33" s="8" t="inlineStr">
        <is>
          <t>гель для стирки 5 литров</t>
        </is>
      </c>
      <c r="B33" s="8" t="n"/>
      <c r="C33" s="8" t="n"/>
      <c r="D33" s="8" t="inlineStr">
        <is>
          <t>Стирка</t>
        </is>
      </c>
      <c r="E33" s="8" t="inlineStr">
        <is>
          <t>B2B</t>
        </is>
      </c>
      <c r="F33" s="8" t="n"/>
    </row>
    <row r="34">
      <c r="A34" s="8" t="inlineStr">
        <is>
          <t>средство для посуды канистра</t>
        </is>
      </c>
      <c r="B34" s="8" t="n"/>
      <c r="C34" s="8" t="n"/>
      <c r="D34" s="8" t="inlineStr">
        <is>
          <t>Посуда</t>
        </is>
      </c>
      <c r="E34" s="8" t="inlineStr">
        <is>
          <t>B2B</t>
        </is>
      </c>
      <c r="F34" s="8" t="n"/>
    </row>
    <row r="35">
      <c r="A35" s="8" t="inlineStr">
        <is>
          <t>бытовая химия для маркетплейсов</t>
        </is>
      </c>
      <c r="B35" s="8" t="n"/>
      <c r="C35" s="8" t="n"/>
      <c r="D35" s="8" t="inlineStr">
        <is>
          <t>Общее</t>
        </is>
      </c>
      <c r="E35" s="8" t="inlineStr">
        <is>
          <t>B2B</t>
        </is>
      </c>
      <c r="F35" s="8" t="n"/>
    </row>
    <row r="36">
      <c r="A36" s="8" t="inlineStr">
        <is>
          <t>матрешка бытовая химия</t>
        </is>
      </c>
      <c r="B36" s="8" t="n"/>
      <c r="C36" s="8" t="n"/>
      <c r="D36" s="8" t="inlineStr">
        <is>
          <t>Бренд</t>
        </is>
      </c>
      <c r="E36" s="8" t="inlineStr">
        <is>
          <t>бренд</t>
        </is>
      </c>
      <c r="F36" s="8" t="n"/>
    </row>
    <row r="37">
      <c r="A37" s="8" t="inlineStr">
        <is>
          <t>synergetic гель для стирки</t>
        </is>
      </c>
      <c r="B37" s="8" t="n"/>
      <c r="C37" s="8" t="n"/>
      <c r="D37" s="8" t="inlineStr">
        <is>
          <t>Бренд</t>
        </is>
      </c>
      <c r="E37" s="8" t="inlineStr">
        <is>
          <t>бренд</t>
        </is>
      </c>
      <c r="F37" s="8" t="n"/>
    </row>
    <row r="38">
      <c r="A38" s="8" t="inlineStr">
        <is>
          <t>biomio средство</t>
        </is>
      </c>
      <c r="B38" s="8" t="n"/>
      <c r="C38" s="8" t="n"/>
      <c r="D38" s="8" t="inlineStr">
        <is>
          <t>Бренд</t>
        </is>
      </c>
      <c r="E38" s="8" t="inlineStr">
        <is>
          <t>бренд</t>
        </is>
      </c>
      <c r="F38" s="8" t="n"/>
    </row>
    <row r="39">
      <c r="A39" s="8" t="inlineStr">
        <is>
          <t>чистая линия эко</t>
        </is>
      </c>
      <c r="B39" s="8" t="n"/>
      <c r="C39" s="8" t="n"/>
      <c r="D39" s="8" t="inlineStr">
        <is>
          <t>Бренд</t>
        </is>
      </c>
      <c r="E39" s="8" t="inlineStr">
        <is>
          <t>бренд</t>
        </is>
      </c>
      <c r="F39" s="8" t="n"/>
    </row>
  </sheetData>
  <autoFilter ref="A1:F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  <col width="15" customWidth="1" min="4" max="4"/>
    <col width="16" customWidth="1" min="5" max="5"/>
    <col width="30" customWidth="1" min="6" max="6"/>
    <col width="30" customWidth="1" min="7" max="7"/>
    <col width="16" customWidth="1" min="8" max="8"/>
  </cols>
  <sheetData>
    <row r="1" ht="30" customHeight="1">
      <c r="A1" s="5" t="inlineStr">
        <is>
          <t>Аромат</t>
        </is>
      </c>
      <c r="B1" s="5" t="inlineStr">
        <is>
          <t>Категория</t>
        </is>
      </c>
      <c r="C1" s="5" t="inlineStr">
        <is>
          <t>Упоминаний «+»</t>
        </is>
      </c>
      <c r="D1" s="5" t="inlineStr">
        <is>
          <t>Упоминаний «−»</t>
        </is>
      </c>
      <c r="E1" s="5" t="inlineStr">
        <is>
          <t>Индекс симпатии</t>
        </is>
      </c>
      <c r="F1" s="5" t="inlineStr">
        <is>
          <t>Топ-похвала</t>
        </is>
      </c>
      <c r="G1" s="5" t="inlineStr">
        <is>
          <t>Топ-жалоба</t>
        </is>
      </c>
      <c r="H1" s="5" t="inlineStr">
        <is>
          <t>Источник</t>
        </is>
      </c>
    </row>
    <row r="2">
      <c r="A2" s="8" t="inlineStr">
        <is>
          <t>Лаванда</t>
        </is>
      </c>
      <c r="B2" s="8" t="n"/>
      <c r="C2" s="8" t="n"/>
      <c r="D2" s="8" t="n"/>
      <c r="E2" s="9">
        <f>IF((C2+D2)=0,"",ROUND(C2/(C2+D2),2))</f>
        <v/>
      </c>
      <c r="F2" s="8" t="n"/>
      <c r="G2" s="8" t="n"/>
      <c r="H2" s="8" t="n"/>
    </row>
    <row r="3">
      <c r="A3" s="8" t="inlineStr">
        <is>
          <t>Цитрус / лимон</t>
        </is>
      </c>
      <c r="B3" s="8" t="n"/>
      <c r="C3" s="8" t="n"/>
      <c r="D3" s="8" t="n"/>
      <c r="E3" s="9">
        <f>IF((C3+D3)=0,"",ROUND(C3/(C3+D3),2))</f>
        <v/>
      </c>
      <c r="F3" s="8" t="n"/>
      <c r="G3" s="8" t="n"/>
      <c r="H3" s="8" t="n"/>
    </row>
    <row r="4">
      <c r="A4" s="8" t="inlineStr">
        <is>
          <t>Эвкалипт</t>
        </is>
      </c>
      <c r="B4" s="8" t="n"/>
      <c r="C4" s="8" t="n"/>
      <c r="D4" s="8" t="n"/>
      <c r="E4" s="9">
        <f>IF((C4+D4)=0,"",ROUND(C4/(C4+D4),2))</f>
        <v/>
      </c>
      <c r="F4" s="8" t="n"/>
      <c r="G4" s="8" t="n"/>
      <c r="H4" s="8" t="n"/>
    </row>
    <row r="5">
      <c r="A5" s="8" t="inlineStr">
        <is>
          <t>Морская свежесть</t>
        </is>
      </c>
      <c r="B5" s="8" t="n"/>
      <c r="C5" s="8" t="n"/>
      <c r="D5" s="8" t="n"/>
      <c r="E5" s="9">
        <f>IF((C5+D5)=0,"",ROUND(C5/(C5+D5),2))</f>
        <v/>
      </c>
      <c r="F5" s="8" t="n"/>
      <c r="G5" s="8" t="n"/>
      <c r="H5" s="8" t="n"/>
    </row>
    <row r="6">
      <c r="A6" s="8" t="inlineStr">
        <is>
          <t>Без запаха</t>
        </is>
      </c>
      <c r="B6" s="8" t="n"/>
      <c r="C6" s="8" t="n"/>
      <c r="D6" s="8" t="n"/>
      <c r="E6" s="9">
        <f>IF((C6+D6)=0,"",ROUND(C6/(C6+D6),2))</f>
        <v/>
      </c>
      <c r="F6" s="8" t="n"/>
      <c r="G6" s="8" t="n"/>
      <c r="H6" s="8" t="n"/>
    </row>
    <row r="7">
      <c r="A7" s="8" t="inlineStr">
        <is>
          <t>Хвоя / пихта</t>
        </is>
      </c>
      <c r="B7" s="8" t="n"/>
      <c r="C7" s="8" t="n"/>
      <c r="D7" s="8" t="n"/>
      <c r="E7" s="9">
        <f>IF((C7+D7)=0,"",ROUND(C7/(C7+D7),2))</f>
        <v/>
      </c>
      <c r="F7" s="8" t="n"/>
      <c r="G7" s="8" t="n"/>
      <c r="H7" s="8" t="n"/>
    </row>
    <row r="8">
      <c r="A8" s="8" t="inlineStr">
        <is>
          <t>Ваниль / гурманский</t>
        </is>
      </c>
      <c r="B8" s="8" t="n"/>
      <c r="C8" s="8" t="n"/>
      <c r="D8" s="8" t="n"/>
      <c r="E8" s="9">
        <f>IF((C8+D8)=0,"",ROUND(C8/(C8+D8),2))</f>
        <v/>
      </c>
      <c r="F8" s="8" t="n"/>
      <c r="G8" s="8" t="n"/>
      <c r="H8" s="8" t="n"/>
    </row>
    <row r="9">
      <c r="A9" s="8" t="inlineStr">
        <is>
          <t>Цветочный (флёрдоранж)</t>
        </is>
      </c>
      <c r="B9" s="8" t="n"/>
      <c r="C9" s="8" t="n"/>
      <c r="D9" s="8" t="n"/>
      <c r="E9" s="9">
        <f>IF((C9+D9)=0,"",ROUND(C9/(C9+D9),2))</f>
        <v/>
      </c>
      <c r="F9" s="8" t="n"/>
      <c r="G9" s="8" t="n"/>
      <c r="H9" s="8" t="n"/>
    </row>
    <row r="10">
      <c r="A10" s="8" t="inlineStr">
        <is>
          <t>Алоэ</t>
        </is>
      </c>
      <c r="B10" s="8" t="n"/>
      <c r="C10" s="8" t="n"/>
      <c r="D10" s="8" t="n"/>
      <c r="E10" s="9">
        <f>IF((C10+D10)=0,"",ROUND(C10/(C10+D10),2))</f>
        <v/>
      </c>
      <c r="F10" s="8" t="n"/>
      <c r="G10" s="8" t="n"/>
      <c r="H10" s="8" t="n"/>
    </row>
    <row r="11">
      <c r="A11" s="8" t="inlineStr">
        <is>
          <t>Мускус / парфюм</t>
        </is>
      </c>
      <c r="B11" s="8" t="n"/>
      <c r="C11" s="8" t="n"/>
      <c r="D11" s="8" t="n"/>
      <c r="E11" s="9">
        <f>IF((C11+D11)=0,"",ROUND(C11/(C11+D11),2))</f>
        <v/>
      </c>
      <c r="F11" s="8" t="n"/>
      <c r="G11" s="8" t="n"/>
      <c r="H11" s="8" t="n"/>
    </row>
    <row r="12">
      <c r="A12" s="8" t="inlineStr">
        <is>
          <t>Свежий хлопок</t>
        </is>
      </c>
      <c r="B12" s="8" t="n"/>
      <c r="C12" s="8" t="n"/>
      <c r="D12" s="8" t="n"/>
      <c r="E12" s="9">
        <f>IF((C12+D12)=0,"",ROUND(C12/(C12+D12),2))</f>
        <v/>
      </c>
      <c r="F12" s="8" t="n"/>
      <c r="G12" s="8" t="n"/>
      <c r="H12" s="8" t="n"/>
    </row>
    <row r="13">
      <c r="A13" s="8" t="inlineStr">
        <is>
          <t>Мята</t>
        </is>
      </c>
      <c r="B13" s="8" t="n"/>
      <c r="C13" s="8" t="n"/>
      <c r="D13" s="8" t="n"/>
      <c r="E13" s="9">
        <f>IF((C13+D13)=0,"",ROUND(C13/(C13+D13),2))</f>
        <v/>
      </c>
      <c r="F13" s="8" t="n"/>
      <c r="G13" s="8" t="n"/>
      <c r="H13" s="8" t="n"/>
    </row>
  </sheetData>
  <autoFilter ref="A1:H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22" customWidth="1" min="4" max="4"/>
    <col width="22" customWidth="1" min="5" max="5"/>
    <col width="22" customWidth="1" min="6" max="6"/>
    <col width="12" customWidth="1" min="7" max="7"/>
    <col width="18" customWidth="1" min="8" max="8"/>
    <col width="18" customWidth="1" min="9" max="9"/>
    <col width="34" customWidth="1" min="10" max="10"/>
  </cols>
  <sheetData>
    <row r="1">
      <c r="A1" s="1" t="inlineStr">
        <is>
          <t>Поиск ниш: высокий спрос × мало конкурентов × запас по цене</t>
        </is>
      </c>
    </row>
    <row r="3" ht="30" customHeight="1">
      <c r="A3" s="5" t="inlineStr">
        <is>
          <t>Категория</t>
        </is>
      </c>
      <c r="B3" s="5" t="inlineStr">
        <is>
          <t>Формат</t>
        </is>
      </c>
      <c r="C3" s="5" t="inlineStr">
        <is>
          <t>Запах</t>
        </is>
      </c>
      <c r="D3" s="5" t="inlineStr">
        <is>
          <t>Спрос (Wordstat, ручн.)</t>
        </is>
      </c>
      <c r="E3" s="5" t="inlineStr">
        <is>
          <t>Конкурентов в кат. (авто)</t>
        </is>
      </c>
      <c r="F3" s="5" t="inlineStr">
        <is>
          <t>Сред. ₽/л у конкур. (авто)</t>
        </is>
      </c>
      <c r="G3" s="5" t="inlineStr">
        <is>
          <t>Наша ₽/л</t>
        </is>
      </c>
      <c r="H3" s="5" t="inlineStr">
        <is>
          <t>Score (спрос/конкур.)</t>
        </is>
      </c>
      <c r="I3" s="5" t="inlineStr">
        <is>
          <t>Зазор ₽/л (рынок−мы)</t>
        </is>
      </c>
      <c r="J3" s="5" t="inlineStr">
        <is>
          <t>Вывод / действие</t>
        </is>
      </c>
    </row>
    <row r="4">
      <c r="A4" s="8" t="inlineStr">
        <is>
          <t>Стирка</t>
        </is>
      </c>
      <c r="B4" s="8" t="inlineStr">
        <is>
          <t>капсулы</t>
        </is>
      </c>
      <c r="C4" s="8" t="inlineStr">
        <is>
          <t>лаванда</t>
        </is>
      </c>
      <c r="D4" s="8" t="n"/>
      <c r="E4" s="9">
        <f>IF(A4="","",COUNTIFS('Цены конкурентов'!$B:$B,A4))</f>
        <v/>
      </c>
      <c r="F4" s="9">
        <f>IFERROR(ROUND(AVERAGEIFS('Цены конкурентов'!$H:$H,'Цены конкурентов'!$B:$B,A4),1),"")</f>
        <v/>
      </c>
      <c r="G4" s="8" t="n"/>
      <c r="H4" s="9">
        <f>IF(OR(D4="",E4="",E4=0),"",ROUND(D4/E4,1))</f>
        <v/>
      </c>
      <c r="I4" s="9">
        <f>IF(OR(F4="",G4=""),"",ROUND(F4-G4,1))</f>
        <v/>
      </c>
      <c r="J4" s="8" t="inlineStr"/>
    </row>
    <row r="5">
      <c r="A5" s="8" t="inlineStr">
        <is>
          <t>Стирка</t>
        </is>
      </c>
      <c r="B5" s="8" t="inlineStr">
        <is>
          <t>гель</t>
        </is>
      </c>
      <c r="C5" s="8" t="inlineStr">
        <is>
          <t>без запаха</t>
        </is>
      </c>
      <c r="D5" s="8" t="n"/>
      <c r="E5" s="9">
        <f>IF(A5="","",COUNTIFS('Цены конкурентов'!$B:$B,A5))</f>
        <v/>
      </c>
      <c r="F5" s="9">
        <f>IFERROR(ROUND(AVERAGEIFS('Цены конкурентов'!$H:$H,'Цены конкурентов'!$B:$B,A5),1),"")</f>
        <v/>
      </c>
      <c r="G5" s="8" t="n"/>
      <c r="H5" s="9">
        <f>IF(OR(D5="",E5="",E5=0),"",ROUND(D5/E5,1))</f>
        <v/>
      </c>
      <c r="I5" s="9">
        <f>IF(OR(F5="",G5=""),"",ROUND(F5-G5,1))</f>
        <v/>
      </c>
      <c r="J5" s="8" t="inlineStr"/>
    </row>
    <row r="6">
      <c r="A6" s="8" t="inlineStr">
        <is>
          <t>Посуда</t>
        </is>
      </c>
      <c r="B6" s="8" t="inlineStr">
        <is>
          <t>гель</t>
        </is>
      </c>
      <c r="C6" s="8" t="inlineStr">
        <is>
          <t>лимон</t>
        </is>
      </c>
      <c r="D6" s="8" t="n"/>
      <c r="E6" s="9">
        <f>IF(A6="","",COUNTIFS('Цены конкурентов'!$B:$B,A6))</f>
        <v/>
      </c>
      <c r="F6" s="9">
        <f>IFERROR(ROUND(AVERAGEIFS('Цены конкурентов'!$H:$H,'Цены конкурентов'!$B:$B,A6),1),"")</f>
        <v/>
      </c>
      <c r="G6" s="8" t="n"/>
      <c r="H6" s="9">
        <f>IF(OR(D6="",E6="",E6=0),"",ROUND(D6/E6,1))</f>
        <v/>
      </c>
      <c r="I6" s="9">
        <f>IF(OR(F6="",G6=""),"",ROUND(F6-G6,1))</f>
        <v/>
      </c>
      <c r="J6" s="8" t="inlineStr"/>
    </row>
    <row r="7">
      <c r="A7" s="8" t="inlineStr">
        <is>
          <t>Освежители</t>
        </is>
      </c>
      <c r="B7" s="8" t="inlineStr">
        <is>
          <t>спрей</t>
        </is>
      </c>
      <c r="C7" s="8" t="inlineStr">
        <is>
          <t>эвкалипт</t>
        </is>
      </c>
      <c r="D7" s="8" t="n"/>
      <c r="E7" s="9">
        <f>IF(A7="","",COUNTIFS('Цены конкурентов'!$B:$B,A7))</f>
        <v/>
      </c>
      <c r="F7" s="9">
        <f>IFERROR(ROUND(AVERAGEIFS('Цены конкурентов'!$H:$H,'Цены конкурентов'!$B:$B,A7),1),"")</f>
        <v/>
      </c>
      <c r="G7" s="8" t="n"/>
      <c r="H7" s="9">
        <f>IF(OR(D7="",E7="",E7=0),"",ROUND(D7/E7,1))</f>
        <v/>
      </c>
      <c r="I7" s="9">
        <f>IF(OR(F7="",G7=""),"",ROUND(F7-G7,1))</f>
        <v/>
      </c>
      <c r="J7" s="8" t="inlineStr"/>
    </row>
    <row r="8">
      <c r="A8" s="8" t="n"/>
      <c r="B8" s="8" t="n"/>
      <c r="C8" s="8" t="n"/>
      <c r="D8" s="8" t="n"/>
      <c r="E8" s="9">
        <f>IF(A8="","",COUNTIFS('Цены конкурентов'!$B:$B,A8))</f>
        <v/>
      </c>
      <c r="F8" s="9">
        <f>IFERROR(ROUND(AVERAGEIFS('Цены конкурентов'!$H:$H,'Цены конкурентов'!$B:$B,A8),1),"")</f>
        <v/>
      </c>
      <c r="G8" s="8" t="n"/>
      <c r="H8" s="9">
        <f>IF(OR(D8="",E8="",E8=0),"",ROUND(D8/E8,1))</f>
        <v/>
      </c>
      <c r="I8" s="9">
        <f>IF(OR(F8="",G8=""),"",ROUND(F8-G8,1))</f>
        <v/>
      </c>
      <c r="J8" s="8" t="n"/>
    </row>
    <row r="9">
      <c r="A9" s="8" t="n"/>
      <c r="B9" s="8" t="n"/>
      <c r="C9" s="8" t="n"/>
      <c r="D9" s="8" t="n"/>
      <c r="E9" s="9">
        <f>IF(A9="","",COUNTIFS('Цены конкурентов'!$B:$B,A9))</f>
        <v/>
      </c>
      <c r="F9" s="9">
        <f>IFERROR(ROUND(AVERAGEIFS('Цены конкурентов'!$H:$H,'Цены конкурентов'!$B:$B,A9),1),"")</f>
        <v/>
      </c>
      <c r="G9" s="8" t="n"/>
      <c r="H9" s="9">
        <f>IF(OR(D9="",E9="",E9=0),"",ROUND(D9/E9,1))</f>
        <v/>
      </c>
      <c r="I9" s="9">
        <f>IF(OR(F9="",G9=""),"",ROUND(F9-G9,1))</f>
        <v/>
      </c>
      <c r="J9" s="8" t="n"/>
    </row>
    <row r="10">
      <c r="A10" s="8" t="n"/>
      <c r="B10" s="8" t="n"/>
      <c r="C10" s="8" t="n"/>
      <c r="D10" s="8" t="n"/>
      <c r="E10" s="9">
        <f>IF(A10="","",COUNTIFS('Цены конкурентов'!$B:$B,A10))</f>
        <v/>
      </c>
      <c r="F10" s="9">
        <f>IFERROR(ROUND(AVERAGEIFS('Цены конкурентов'!$H:$H,'Цены конкурентов'!$B:$B,A10),1),"")</f>
        <v/>
      </c>
      <c r="G10" s="8" t="n"/>
      <c r="H10" s="9">
        <f>IF(OR(D10="",E10="",E10=0),"",ROUND(D10/E10,1))</f>
        <v/>
      </c>
      <c r="I10" s="9">
        <f>IF(OR(F10="",G10=""),"",ROUND(F10-G10,1))</f>
        <v/>
      </c>
      <c r="J10" s="8" t="n"/>
    </row>
    <row r="11">
      <c r="A11" s="8" t="n"/>
      <c r="B11" s="8" t="n"/>
      <c r="C11" s="8" t="n"/>
      <c r="D11" s="8" t="n"/>
      <c r="E11" s="9">
        <f>IF(A11="","",COUNTIFS('Цены конкурентов'!$B:$B,A11))</f>
        <v/>
      </c>
      <c r="F11" s="9">
        <f>IFERROR(ROUND(AVERAGEIFS('Цены конкурентов'!$H:$H,'Цены конкурентов'!$B:$B,A11),1),"")</f>
        <v/>
      </c>
      <c r="G11" s="8" t="n"/>
      <c r="H11" s="9">
        <f>IF(OR(D11="",E11="",E11=0),"",ROUND(D11/E11,1))</f>
        <v/>
      </c>
      <c r="I11" s="9">
        <f>IF(OR(F11="",G11=""),"",ROUND(F11-G11,1))</f>
        <v/>
      </c>
      <c r="J11" s="8" t="n"/>
    </row>
    <row r="12">
      <c r="A12" s="8" t="n"/>
      <c r="B12" s="8" t="n"/>
      <c r="C12" s="8" t="n"/>
      <c r="D12" s="8" t="n"/>
      <c r="E12" s="9">
        <f>IF(A12="","",COUNTIFS('Цены конкурентов'!$B:$B,A12))</f>
        <v/>
      </c>
      <c r="F12" s="9">
        <f>IFERROR(ROUND(AVERAGEIFS('Цены конкурентов'!$H:$H,'Цены конкурентов'!$B:$B,A12),1),"")</f>
        <v/>
      </c>
      <c r="G12" s="8" t="n"/>
      <c r="H12" s="9">
        <f>IF(OR(D12="",E12="",E12=0),"",ROUND(D12/E12,1))</f>
        <v/>
      </c>
      <c r="I12" s="9">
        <f>IF(OR(F12="",G12=""),"",ROUND(F12-G12,1))</f>
        <v/>
      </c>
      <c r="J12" s="8" t="n"/>
    </row>
    <row r="13">
      <c r="A13" s="8" t="n"/>
      <c r="B13" s="8" t="n"/>
      <c r="C13" s="8" t="n"/>
      <c r="D13" s="8" t="n"/>
      <c r="E13" s="9">
        <f>IF(A13="","",COUNTIFS('Цены конкурентов'!$B:$B,A13))</f>
        <v/>
      </c>
      <c r="F13" s="9">
        <f>IFERROR(ROUND(AVERAGEIFS('Цены конкурентов'!$H:$H,'Цены конкурентов'!$B:$B,A13),1),"")</f>
        <v/>
      </c>
      <c r="G13" s="8" t="n"/>
      <c r="H13" s="9">
        <f>IF(OR(D13="",E13="",E13=0),"",ROUND(D13/E13,1))</f>
        <v/>
      </c>
      <c r="I13" s="9">
        <f>IF(OR(F13="",G13=""),"",ROUND(F13-G13,1))</f>
        <v/>
      </c>
      <c r="J13" s="8" t="n"/>
    </row>
    <row r="14">
      <c r="A14" s="8" t="n"/>
      <c r="B14" s="8" t="n"/>
      <c r="C14" s="8" t="n"/>
      <c r="D14" s="8" t="n"/>
      <c r="E14" s="9">
        <f>IF(A14="","",COUNTIFS('Цены конкурентов'!$B:$B,A14))</f>
        <v/>
      </c>
      <c r="F14" s="9">
        <f>IFERROR(ROUND(AVERAGEIFS('Цены конкурентов'!$H:$H,'Цены конкурентов'!$B:$B,A14),1),"")</f>
        <v/>
      </c>
      <c r="G14" s="8" t="n"/>
      <c r="H14" s="9">
        <f>IF(OR(D14="",E14="",E14=0),"",ROUND(D14/E14,1))</f>
        <v/>
      </c>
      <c r="I14" s="9">
        <f>IF(OR(F14="",G14=""),"",ROUND(F14-G14,1))</f>
        <v/>
      </c>
      <c r="J14" s="8" t="n"/>
    </row>
    <row r="15">
      <c r="A15" s="8" t="n"/>
      <c r="B15" s="8" t="n"/>
      <c r="C15" s="8" t="n"/>
      <c r="D15" s="8" t="n"/>
      <c r="E15" s="9">
        <f>IF(A15="","",COUNTIFS('Цены конкурентов'!$B:$B,A15))</f>
        <v/>
      </c>
      <c r="F15" s="9">
        <f>IFERROR(ROUND(AVERAGEIFS('Цены конкурентов'!$H:$H,'Цены конкурентов'!$B:$B,A15),1),"")</f>
        <v/>
      </c>
      <c r="G15" s="8" t="n"/>
      <c r="H15" s="9">
        <f>IF(OR(D15="",E15="",E15=0),"",ROUND(D15/E15,1))</f>
        <v/>
      </c>
      <c r="I15" s="9">
        <f>IF(OR(F15="",G15=""),"",ROUND(F15-G15,1))</f>
        <v/>
      </c>
      <c r="J15" s="8" t="n"/>
    </row>
    <row r="16">
      <c r="A16" s="8" t="n"/>
      <c r="B16" s="8" t="n"/>
      <c r="C16" s="8" t="n"/>
      <c r="D16" s="8" t="n"/>
      <c r="E16" s="9">
        <f>IF(A16="","",COUNTIFS('Цены конкурентов'!$B:$B,A16))</f>
        <v/>
      </c>
      <c r="F16" s="9">
        <f>IFERROR(ROUND(AVERAGEIFS('Цены конкурентов'!$H:$H,'Цены конкурентов'!$B:$B,A16),1),"")</f>
        <v/>
      </c>
      <c r="G16" s="8" t="n"/>
      <c r="H16" s="9">
        <f>IF(OR(D16="",E16="",E16=0),"",ROUND(D16/E16,1))</f>
        <v/>
      </c>
      <c r="I16" s="9">
        <f>IF(OR(F16="",G16=""),"",ROUND(F16-G16,1))</f>
        <v/>
      </c>
      <c r="J16" s="8" t="n"/>
    </row>
    <row r="17">
      <c r="A17" s="8" t="n"/>
      <c r="B17" s="8" t="n"/>
      <c r="C17" s="8" t="n"/>
      <c r="D17" s="8" t="n"/>
      <c r="E17" s="9">
        <f>IF(A17="","",COUNTIFS('Цены конкурентов'!$B:$B,A17))</f>
        <v/>
      </c>
      <c r="F17" s="9">
        <f>IFERROR(ROUND(AVERAGEIFS('Цены конкурентов'!$H:$H,'Цены конкурентов'!$B:$B,A17),1),"")</f>
        <v/>
      </c>
      <c r="G17" s="8" t="n"/>
      <c r="H17" s="9">
        <f>IF(OR(D17="",E17="",E17=0),"",ROUND(D17/E17,1))</f>
        <v/>
      </c>
      <c r="I17" s="9">
        <f>IF(OR(F17="",G17=""),"",ROUND(F17-G17,1))</f>
        <v/>
      </c>
      <c r="J17" s="8" t="n"/>
    </row>
    <row r="18">
      <c r="A18" s="8" t="n"/>
      <c r="B18" s="8" t="n"/>
      <c r="C18" s="8" t="n"/>
      <c r="D18" s="8" t="n"/>
      <c r="E18" s="9">
        <f>IF(A18="","",COUNTIFS('Цены конкурентов'!$B:$B,A18))</f>
        <v/>
      </c>
      <c r="F18" s="9">
        <f>IFERROR(ROUND(AVERAGEIFS('Цены конкурентов'!$H:$H,'Цены конкурентов'!$B:$B,A18),1),"")</f>
        <v/>
      </c>
      <c r="G18" s="8" t="n"/>
      <c r="H18" s="9">
        <f>IF(OR(D18="",E18="",E18=0),"",ROUND(D18/E18,1))</f>
        <v/>
      </c>
      <c r="I18" s="9">
        <f>IF(OR(F18="",G18=""),"",ROUND(F18-G18,1))</f>
        <v/>
      </c>
      <c r="J18" s="8" t="n"/>
    </row>
    <row r="19">
      <c r="A19" s="8" t="n"/>
      <c r="B19" s="8" t="n"/>
      <c r="C19" s="8" t="n"/>
      <c r="D19" s="8" t="n"/>
      <c r="E19" s="9">
        <f>IF(A19="","",COUNTIFS('Цены конкурентов'!$B:$B,A19))</f>
        <v/>
      </c>
      <c r="F19" s="9">
        <f>IFERROR(ROUND(AVERAGEIFS('Цены конкурентов'!$H:$H,'Цены конкурентов'!$B:$B,A19),1),"")</f>
        <v/>
      </c>
      <c r="G19" s="8" t="n"/>
      <c r="H19" s="9">
        <f>IF(OR(D19="",E19="",E19=0),"",ROUND(D19/E19,1))</f>
        <v/>
      </c>
      <c r="I19" s="9">
        <f>IF(OR(F19="",G19=""),"",ROUND(F19-G19,1))</f>
        <v/>
      </c>
      <c r="J19" s="8" t="n"/>
    </row>
    <row r="20">
      <c r="A20" s="8" t="n"/>
      <c r="B20" s="8" t="n"/>
      <c r="C20" s="8" t="n"/>
      <c r="D20" s="8" t="n"/>
      <c r="E20" s="9">
        <f>IF(A20="","",COUNTIFS('Цены конкурентов'!$B:$B,A20))</f>
        <v/>
      </c>
      <c r="F20" s="9">
        <f>IFERROR(ROUND(AVERAGEIFS('Цены конкурентов'!$H:$H,'Цены конкурентов'!$B:$B,A20),1),"")</f>
        <v/>
      </c>
      <c r="G20" s="8" t="n"/>
      <c r="H20" s="9">
        <f>IF(OR(D20="",E20="",E20=0),"",ROUND(D20/E20,1))</f>
        <v/>
      </c>
      <c r="I20" s="9">
        <f>IF(OR(F20="",G20=""),"",ROUND(F20-G20,1))</f>
        <v/>
      </c>
      <c r="J20" s="8" t="n"/>
    </row>
    <row r="21">
      <c r="A21" s="8" t="n"/>
      <c r="B21" s="8" t="n"/>
      <c r="C21" s="8" t="n"/>
      <c r="D21" s="8" t="n"/>
      <c r="E21" s="9">
        <f>IF(A21="","",COUNTIFS('Цены конкурентов'!$B:$B,A21))</f>
        <v/>
      </c>
      <c r="F21" s="9">
        <f>IFERROR(ROUND(AVERAGEIFS('Цены конкурентов'!$H:$H,'Цены конкурентов'!$B:$B,A21),1),"")</f>
        <v/>
      </c>
      <c r="G21" s="8" t="n"/>
      <c r="H21" s="9">
        <f>IF(OR(D21="",E21="",E21=0),"",ROUND(D21/E21,1))</f>
        <v/>
      </c>
      <c r="I21" s="9">
        <f>IF(OR(F21="",G21=""),"",ROUND(F21-G21,1))</f>
        <v/>
      </c>
      <c r="J21" s="8" t="n"/>
    </row>
    <row r="22">
      <c r="A22" s="8" t="n"/>
      <c r="B22" s="8" t="n"/>
      <c r="C22" s="8" t="n"/>
      <c r="D22" s="8" t="n"/>
      <c r="E22" s="9">
        <f>IF(A22="","",COUNTIFS('Цены конкурентов'!$B:$B,A22))</f>
        <v/>
      </c>
      <c r="F22" s="9">
        <f>IFERROR(ROUND(AVERAGEIFS('Цены конкурентов'!$H:$H,'Цены конкурентов'!$B:$B,A22),1),"")</f>
        <v/>
      </c>
      <c r="G22" s="8" t="n"/>
      <c r="H22" s="9">
        <f>IF(OR(D22="",E22="",E22=0),"",ROUND(D22/E22,1))</f>
        <v/>
      </c>
      <c r="I22" s="9">
        <f>IF(OR(F22="",G22=""),"",ROUND(F22-G22,1))</f>
        <v/>
      </c>
      <c r="J22" s="8" t="n"/>
    </row>
    <row r="23">
      <c r="A23" s="8" t="n"/>
      <c r="B23" s="8" t="n"/>
      <c r="C23" s="8" t="n"/>
      <c r="D23" s="8" t="n"/>
      <c r="E23" s="9">
        <f>IF(A23="","",COUNTIFS('Цены конкурентов'!$B:$B,A23))</f>
        <v/>
      </c>
      <c r="F23" s="9">
        <f>IFERROR(ROUND(AVERAGEIFS('Цены конкурентов'!$H:$H,'Цены конкурентов'!$B:$B,A23),1),"")</f>
        <v/>
      </c>
      <c r="G23" s="8" t="n"/>
      <c r="H23" s="9">
        <f>IF(OR(D23="",E23="",E23=0),"",ROUND(D23/E23,1))</f>
        <v/>
      </c>
      <c r="I23" s="9">
        <f>IF(OR(F23="",G23=""),"",ROUND(F23-G23,1))</f>
        <v/>
      </c>
      <c r="J23" s="8" t="n"/>
    </row>
    <row r="24">
      <c r="A24" s="8" t="n"/>
      <c r="B24" s="8" t="n"/>
      <c r="C24" s="8" t="n"/>
      <c r="D24" s="8" t="n"/>
      <c r="E24" s="9">
        <f>IF(A24="","",COUNTIFS('Цены конкурентов'!$B:$B,A24))</f>
        <v/>
      </c>
      <c r="F24" s="9">
        <f>IFERROR(ROUND(AVERAGEIFS('Цены конкурентов'!$H:$H,'Цены конкурентов'!$B:$B,A24),1),"")</f>
        <v/>
      </c>
      <c r="G24" s="8" t="n"/>
      <c r="H24" s="9">
        <f>IF(OR(D24="",E24="",E24=0),"",ROUND(D24/E24,1))</f>
        <v/>
      </c>
      <c r="I24" s="9">
        <f>IF(OR(F24="",G24=""),"",ROUND(F24-G24,1))</f>
        <v/>
      </c>
      <c r="J24" s="8" t="n"/>
    </row>
    <row r="25">
      <c r="A25" s="8" t="n"/>
      <c r="B25" s="8" t="n"/>
      <c r="C25" s="8" t="n"/>
      <c r="D25" s="8" t="n"/>
      <c r="E25" s="9">
        <f>IF(A25="","",COUNTIFS('Цены конкурентов'!$B:$B,A25))</f>
        <v/>
      </c>
      <c r="F25" s="9">
        <f>IFERROR(ROUND(AVERAGEIFS('Цены конкурентов'!$H:$H,'Цены конкурентов'!$B:$B,A25),1),"")</f>
        <v/>
      </c>
      <c r="G25" s="8" t="n"/>
      <c r="H25" s="9">
        <f>IF(OR(D25="",E25="",E25=0),"",ROUND(D25/E25,1))</f>
        <v/>
      </c>
      <c r="I25" s="9">
        <f>IF(OR(F25="",G25=""),"",ROUND(F25-G25,1))</f>
        <v/>
      </c>
      <c r="J25" s="8" t="n"/>
    </row>
    <row r="26">
      <c r="A26" s="8" t="n"/>
      <c r="B26" s="8" t="n"/>
      <c r="C26" s="8" t="n"/>
      <c r="D26" s="8" t="n"/>
      <c r="E26" s="9">
        <f>IF(A26="","",COUNTIFS('Цены конкурентов'!$B:$B,A26))</f>
        <v/>
      </c>
      <c r="F26" s="9">
        <f>IFERROR(ROUND(AVERAGEIFS('Цены конкурентов'!$H:$H,'Цены конкурентов'!$B:$B,A26),1),"")</f>
        <v/>
      </c>
      <c r="G26" s="8" t="n"/>
      <c r="H26" s="9">
        <f>IF(OR(D26="",E26="",E26=0),"",ROUND(D26/E26,1))</f>
        <v/>
      </c>
      <c r="I26" s="9">
        <f>IF(OR(F26="",G26=""),"",ROUND(F26-G26,1))</f>
        <v/>
      </c>
      <c r="J26" s="8" t="n"/>
    </row>
    <row r="27">
      <c r="A27" s="8" t="n"/>
      <c r="B27" s="8" t="n"/>
      <c r="C27" s="8" t="n"/>
      <c r="D27" s="8" t="n"/>
      <c r="E27" s="9">
        <f>IF(A27="","",COUNTIFS('Цены конкурентов'!$B:$B,A27))</f>
        <v/>
      </c>
      <c r="F27" s="9">
        <f>IFERROR(ROUND(AVERAGEIFS('Цены конкурентов'!$H:$H,'Цены конкурентов'!$B:$B,A27),1),"")</f>
        <v/>
      </c>
      <c r="G27" s="8" t="n"/>
      <c r="H27" s="9">
        <f>IF(OR(D27="",E27="",E27=0),"",ROUND(D27/E27,1))</f>
        <v/>
      </c>
      <c r="I27" s="9">
        <f>IF(OR(F27="",G27=""),"",ROUND(F27-G27,1))</f>
        <v/>
      </c>
      <c r="J27" s="8" t="n"/>
    </row>
    <row r="28">
      <c r="A28" s="8" t="n"/>
      <c r="B28" s="8" t="n"/>
      <c r="C28" s="8" t="n"/>
      <c r="D28" s="8" t="n"/>
      <c r="E28" s="9">
        <f>IF(A28="","",COUNTIFS('Цены конкурентов'!$B:$B,A28))</f>
        <v/>
      </c>
      <c r="F28" s="9">
        <f>IFERROR(ROUND(AVERAGEIFS('Цены конкурентов'!$H:$H,'Цены конкурентов'!$B:$B,A28),1),"")</f>
        <v/>
      </c>
      <c r="G28" s="8" t="n"/>
      <c r="H28" s="9">
        <f>IF(OR(D28="",E28="",E28=0),"",ROUND(D28/E28,1))</f>
        <v/>
      </c>
      <c r="I28" s="9">
        <f>IF(OR(F28="",G28=""),"",ROUND(F28-G28,1))</f>
        <v/>
      </c>
      <c r="J28" s="8" t="n"/>
    </row>
    <row r="29">
      <c r="A29" s="8" t="n"/>
      <c r="B29" s="8" t="n"/>
      <c r="C29" s="8" t="n"/>
      <c r="D29" s="8" t="n"/>
      <c r="E29" s="9">
        <f>IF(A29="","",COUNTIFS('Цены конкурентов'!$B:$B,A29))</f>
        <v/>
      </c>
      <c r="F29" s="9">
        <f>IFERROR(ROUND(AVERAGEIFS('Цены конкурентов'!$H:$H,'Цены конкурентов'!$B:$B,A29),1),"")</f>
        <v/>
      </c>
      <c r="G29" s="8" t="n"/>
      <c r="H29" s="9">
        <f>IF(OR(D29="",E29="",E29=0),"",ROUND(D29/E29,1))</f>
        <v/>
      </c>
      <c r="I29" s="9">
        <f>IF(OR(F29="",G29=""),"",ROUND(F29-G29,1))</f>
        <v/>
      </c>
      <c r="J29" s="8" t="n"/>
    </row>
    <row r="30">
      <c r="A30" s="8" t="n"/>
      <c r="B30" s="8" t="n"/>
      <c r="C30" s="8" t="n"/>
      <c r="D30" s="8" t="n"/>
      <c r="E30" s="9">
        <f>IF(A30="","",COUNTIFS('Цены конкурентов'!$B:$B,A30))</f>
        <v/>
      </c>
      <c r="F30" s="9">
        <f>IFERROR(ROUND(AVERAGEIFS('Цены конкурентов'!$H:$H,'Цены конкурентов'!$B:$B,A30),1),"")</f>
        <v/>
      </c>
      <c r="G30" s="8" t="n"/>
      <c r="H30" s="9">
        <f>IF(OR(D30="",E30="",E30=0),"",ROUND(D30/E30,1))</f>
        <v/>
      </c>
      <c r="I30" s="9">
        <f>IF(OR(F30="",G30=""),"",ROUND(F30-G30,1))</f>
        <v/>
      </c>
      <c r="J30" s="8" t="n"/>
    </row>
    <row r="31">
      <c r="A31" s="8" t="n"/>
      <c r="B31" s="8" t="n"/>
      <c r="C31" s="8" t="n"/>
      <c r="D31" s="8" t="n"/>
      <c r="E31" s="9">
        <f>IF(A31="","",COUNTIFS('Цены конкурентов'!$B:$B,A31))</f>
        <v/>
      </c>
      <c r="F31" s="9">
        <f>IFERROR(ROUND(AVERAGEIFS('Цены конкурентов'!$H:$H,'Цены конкурентов'!$B:$B,A31),1),"")</f>
        <v/>
      </c>
      <c r="G31" s="8" t="n"/>
      <c r="H31" s="9">
        <f>IF(OR(D31="",E31="",E31=0),"",ROUND(D31/E31,1))</f>
        <v/>
      </c>
      <c r="I31" s="9">
        <f>IF(OR(F31="",G31=""),"",ROUND(F31-G31,1))</f>
        <v/>
      </c>
      <c r="J31" s="8" t="n"/>
    </row>
    <row r="32">
      <c r="A32" s="8" t="n"/>
      <c r="B32" s="8" t="n"/>
      <c r="C32" s="8" t="n"/>
      <c r="D32" s="8" t="n"/>
      <c r="E32" s="9">
        <f>IF(A32="","",COUNTIFS('Цены конкурентов'!$B:$B,A32))</f>
        <v/>
      </c>
      <c r="F32" s="9">
        <f>IFERROR(ROUND(AVERAGEIFS('Цены конкурентов'!$H:$H,'Цены конкурентов'!$B:$B,A32),1),"")</f>
        <v/>
      </c>
      <c r="G32" s="8" t="n"/>
      <c r="H32" s="9">
        <f>IF(OR(D32="",E32="",E32=0),"",ROUND(D32/E32,1))</f>
        <v/>
      </c>
      <c r="I32" s="9">
        <f>IF(OR(F32="",G32=""),"",ROUND(F32-G32,1))</f>
        <v/>
      </c>
      <c r="J32" s="8" t="n"/>
    </row>
    <row r="33">
      <c r="A33" s="8" t="n"/>
      <c r="B33" s="8" t="n"/>
      <c r="C33" s="8" t="n"/>
      <c r="D33" s="8" t="n"/>
      <c r="E33" s="9">
        <f>IF(A33="","",COUNTIFS('Цены конкурентов'!$B:$B,A33))</f>
        <v/>
      </c>
      <c r="F33" s="9">
        <f>IFERROR(ROUND(AVERAGEIFS('Цены конкурентов'!$H:$H,'Цены конкурентов'!$B:$B,A33),1),"")</f>
        <v/>
      </c>
      <c r="G33" s="8" t="n"/>
      <c r="H33" s="9">
        <f>IF(OR(D33="",E33="",E33=0),"",ROUND(D33/E33,1))</f>
        <v/>
      </c>
      <c r="I33" s="9">
        <f>IF(OR(F33="",G33=""),"",ROUND(F33-G33,1))</f>
        <v/>
      </c>
      <c r="J33" s="8" t="n"/>
    </row>
    <row r="34">
      <c r="A34" s="8" t="n"/>
      <c r="B34" s="8" t="n"/>
      <c r="C34" s="8" t="n"/>
      <c r="D34" s="8" t="n"/>
      <c r="E34" s="9">
        <f>IF(A34="","",COUNTIFS('Цены конкурентов'!$B:$B,A34))</f>
        <v/>
      </c>
      <c r="F34" s="9">
        <f>IFERROR(ROUND(AVERAGEIFS('Цены конкурентов'!$H:$H,'Цены конкурентов'!$B:$B,A34),1),"")</f>
        <v/>
      </c>
      <c r="G34" s="8" t="n"/>
      <c r="H34" s="9">
        <f>IF(OR(D34="",E34="",E34=0),"",ROUND(D34/E34,1))</f>
        <v/>
      </c>
      <c r="I34" s="9">
        <f>IF(OR(F34="",G34=""),"",ROUND(F34-G34,1))</f>
        <v/>
      </c>
      <c r="J34" s="8" t="n"/>
    </row>
    <row r="35">
      <c r="A35" s="8" t="n"/>
      <c r="B35" s="8" t="n"/>
      <c r="C35" s="8" t="n"/>
      <c r="D35" s="8" t="n"/>
      <c r="E35" s="9">
        <f>IF(A35="","",COUNTIFS('Цены конкурентов'!$B:$B,A35))</f>
        <v/>
      </c>
      <c r="F35" s="9">
        <f>IFERROR(ROUND(AVERAGEIFS('Цены конкурентов'!$H:$H,'Цены конкурентов'!$B:$B,A35),1),"")</f>
        <v/>
      </c>
      <c r="G35" s="8" t="n"/>
      <c r="H35" s="9">
        <f>IF(OR(D35="",E35="",E35=0),"",ROUND(D35/E35,1))</f>
        <v/>
      </c>
      <c r="I35" s="9">
        <f>IF(OR(F35="",G35=""),"",ROUND(F35-G35,1))</f>
        <v/>
      </c>
      <c r="J35" s="8" t="n"/>
    </row>
    <row r="36">
      <c r="A36" s="8" t="n"/>
      <c r="B36" s="8" t="n"/>
      <c r="C36" s="8" t="n"/>
      <c r="D36" s="8" t="n"/>
      <c r="E36" s="9">
        <f>IF(A36="","",COUNTIFS('Цены конкурентов'!$B:$B,A36))</f>
        <v/>
      </c>
      <c r="F36" s="9">
        <f>IFERROR(ROUND(AVERAGEIFS('Цены конкурентов'!$H:$H,'Цены конкурентов'!$B:$B,A36),1),"")</f>
        <v/>
      </c>
      <c r="G36" s="8" t="n"/>
      <c r="H36" s="9">
        <f>IF(OR(D36="",E36="",E36=0),"",ROUND(D36/E36,1))</f>
        <v/>
      </c>
      <c r="I36" s="9">
        <f>IF(OR(F36="",G36=""),"",ROUND(F36-G36,1))</f>
        <v/>
      </c>
      <c r="J36" s="8" t="n"/>
    </row>
    <row r="37">
      <c r="A37" s="8" t="n"/>
      <c r="B37" s="8" t="n"/>
      <c r="C37" s="8" t="n"/>
      <c r="D37" s="8" t="n"/>
      <c r="E37" s="9">
        <f>IF(A37="","",COUNTIFS('Цены конкурентов'!$B:$B,A37))</f>
        <v/>
      </c>
      <c r="F37" s="9">
        <f>IFERROR(ROUND(AVERAGEIFS('Цены конкурентов'!$H:$H,'Цены конкурентов'!$B:$B,A37),1),"")</f>
        <v/>
      </c>
      <c r="G37" s="8" t="n"/>
      <c r="H37" s="9">
        <f>IF(OR(D37="",E37="",E37=0),"",ROUND(D37/E37,1))</f>
        <v/>
      </c>
      <c r="I37" s="9">
        <f>IF(OR(F37="",G37=""),"",ROUND(F37-G37,1))</f>
        <v/>
      </c>
      <c r="J37" s="8" t="n"/>
    </row>
    <row r="38">
      <c r="A38" s="8" t="n"/>
      <c r="B38" s="8" t="n"/>
      <c r="C38" s="8" t="n"/>
      <c r="D38" s="8" t="n"/>
      <c r="E38" s="9">
        <f>IF(A38="","",COUNTIFS('Цены конкурентов'!$B:$B,A38))</f>
        <v/>
      </c>
      <c r="F38" s="9">
        <f>IFERROR(ROUND(AVERAGEIFS('Цены конкурентов'!$H:$H,'Цены конкурентов'!$B:$B,A38),1),"")</f>
        <v/>
      </c>
      <c r="G38" s="8" t="n"/>
      <c r="H38" s="9">
        <f>IF(OR(D38="",E38="",E38=0),"",ROUND(D38/E38,1))</f>
        <v/>
      </c>
      <c r="I38" s="9">
        <f>IF(OR(F38="",G38=""),"",ROUND(F38-G38,1))</f>
        <v/>
      </c>
      <c r="J38" s="8" t="n"/>
    </row>
    <row r="39">
      <c r="A39" s="8" t="n"/>
      <c r="B39" s="8" t="n"/>
      <c r="C39" s="8" t="n"/>
      <c r="D39" s="8" t="n"/>
      <c r="E39" s="9">
        <f>IF(A39="","",COUNTIFS('Цены конкурентов'!$B:$B,A39))</f>
        <v/>
      </c>
      <c r="F39" s="9">
        <f>IFERROR(ROUND(AVERAGEIFS('Цены конкурентов'!$H:$H,'Цены конкурентов'!$B:$B,A39),1),"")</f>
        <v/>
      </c>
      <c r="G39" s="8" t="n"/>
      <c r="H39" s="9">
        <f>IF(OR(D39="",E39="",E39=0),"",ROUND(D39/E39,1))</f>
        <v/>
      </c>
      <c r="I39" s="9">
        <f>IF(OR(F39="",G39=""),"",ROUND(F39-G39,1))</f>
        <v/>
      </c>
      <c r="J39" s="8" t="n"/>
    </row>
    <row r="40">
      <c r="A40" s="8" t="n"/>
      <c r="B40" s="8" t="n"/>
      <c r="C40" s="8" t="n"/>
      <c r="D40" s="8" t="n"/>
      <c r="E40" s="9">
        <f>IF(A40="","",COUNTIFS('Цены конкурентов'!$B:$B,A40))</f>
        <v/>
      </c>
      <c r="F40" s="9">
        <f>IFERROR(ROUND(AVERAGEIFS('Цены конкурентов'!$H:$H,'Цены конкурентов'!$B:$B,A40),1),"")</f>
        <v/>
      </c>
      <c r="G40" s="8" t="n"/>
      <c r="H40" s="9">
        <f>IF(OR(D40="",E40="",E40=0),"",ROUND(D40/E40,1))</f>
        <v/>
      </c>
      <c r="I40" s="9">
        <f>IF(OR(F40="",G40=""),"",ROUND(F40-G40,1))</f>
        <v/>
      </c>
      <c r="J40" s="8" t="n"/>
    </row>
    <row r="41">
      <c r="A41" s="8" t="n"/>
      <c r="B41" s="8" t="n"/>
      <c r="C41" s="8" t="n"/>
      <c r="D41" s="8" t="n"/>
      <c r="E41" s="9">
        <f>IF(A41="","",COUNTIFS('Цены конкурентов'!$B:$B,A41))</f>
        <v/>
      </c>
      <c r="F41" s="9">
        <f>IFERROR(ROUND(AVERAGEIFS('Цены конкурентов'!$H:$H,'Цены конкурентов'!$B:$B,A41),1),"")</f>
        <v/>
      </c>
      <c r="G41" s="8" t="n"/>
      <c r="H41" s="9">
        <f>IF(OR(D41="",E41="",E41=0),"",ROUND(D41/E41,1))</f>
        <v/>
      </c>
      <c r="I41" s="9">
        <f>IF(OR(F41="",G41=""),"",ROUND(F41-G41,1))</f>
        <v/>
      </c>
      <c r="J41" s="8" t="n"/>
    </row>
    <row r="42">
      <c r="A42" s="8" t="n"/>
      <c r="B42" s="8" t="n"/>
      <c r="C42" s="8" t="n"/>
      <c r="D42" s="8" t="n"/>
      <c r="E42" s="9">
        <f>IF(A42="","",COUNTIFS('Цены конкурентов'!$B:$B,A42))</f>
        <v/>
      </c>
      <c r="F42" s="9">
        <f>IFERROR(ROUND(AVERAGEIFS('Цены конкурентов'!$H:$H,'Цены конкурентов'!$B:$B,A42),1),"")</f>
        <v/>
      </c>
      <c r="G42" s="8" t="n"/>
      <c r="H42" s="9">
        <f>IF(OR(D42="",E42="",E42=0),"",ROUND(D42/E42,1))</f>
        <v/>
      </c>
      <c r="I42" s="9">
        <f>IF(OR(F42="",G42=""),"",ROUND(F42-G42,1))</f>
        <v/>
      </c>
      <c r="J42" s="8" t="n"/>
    </row>
    <row r="43">
      <c r="A43" s="8" t="n"/>
      <c r="B43" s="8" t="n"/>
      <c r="C43" s="8" t="n"/>
      <c r="D43" s="8" t="n"/>
      <c r="E43" s="9">
        <f>IF(A43="","",COUNTIFS('Цены конкурентов'!$B:$B,A43))</f>
        <v/>
      </c>
      <c r="F43" s="9">
        <f>IFERROR(ROUND(AVERAGEIFS('Цены конкурентов'!$H:$H,'Цены конкурентов'!$B:$B,A43),1),"")</f>
        <v/>
      </c>
      <c r="G43" s="8" t="n"/>
      <c r="H43" s="9">
        <f>IF(OR(D43="",E43="",E43=0),"",ROUND(D43/E43,1))</f>
        <v/>
      </c>
      <c r="I43" s="9">
        <f>IF(OR(F43="",G43=""),"",ROUND(F43-G43,1))</f>
        <v/>
      </c>
      <c r="J43" s="8" t="n"/>
    </row>
    <row r="45">
      <c r="A45" s="10" t="inlineStr">
        <is>
          <t>Как читать: высокий Score = много спроса при малом числе конкурентов (хорошая ниша). Положительный «зазор ₽/л» = рынок дороже нас — есть запас поднять цену или зайти премиально. «Спрос» вставляйте вручную из листа «Спрос (ключи)».</t>
        </is>
      </c>
    </row>
    <row r="46"/>
  </sheetData>
  <mergeCells count="1">
    <mergeCell ref="A45:J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2" customWidth="1" min="2" max="2"/>
  </cols>
  <sheetData>
    <row r="1">
      <c r="A1" s="1" t="inlineStr">
        <is>
          <t>Тренды рынка бытовой химии 2025–2026 (выжимка)</t>
        </is>
      </c>
    </row>
    <row r="3" ht="46" customHeight="1">
      <c r="A3" s="11" t="inlineStr">
        <is>
          <t>Рост категории на МП</t>
        </is>
      </c>
      <c r="B3" s="4" t="inlineStr">
        <is>
          <t>WB: бытовая химия — заказы за год выросли ~2x (сент.24 ≈5.0 млн → сент.25 ≈10.7 млн). Число SKU 46→138 тыс., продавцов 4.6→10.3 тыс. → рынок растёт, но и конкуренция тоже.</t>
        </is>
      </c>
    </row>
    <row r="4" ht="46" customHeight="1">
      <c r="A4" s="11" t="inlineStr">
        <is>
          <t>Самые быстрорастущие подкатегории</t>
        </is>
      </c>
      <c r="B4" s="4" t="inlineStr">
        <is>
          <t>Освежители/нейтрализаторы запахов +126%, чистящие +86%, средства для стирки +62%. Стирка — крупнейшая категория, далее посуда, кухня/сантехника.</t>
        </is>
      </c>
    </row>
    <row r="5" ht="46" customHeight="1">
      <c r="A5" s="11" t="inlineStr">
        <is>
          <t>Онлайн обгоняет офлайн</t>
        </is>
      </c>
      <c r="B5" s="4" t="inlineStr">
        <is>
          <t>NielsenIQ: онлайн-продажи средств для стирки +96.8% за год, средств для уборки +65.8%. Канал маркетплейсов — приоритет.</t>
        </is>
      </c>
    </row>
    <row r="6" ht="46" customHeight="1">
      <c r="A6" s="11" t="inlineStr">
        <is>
          <t>Эко и чистый состав</t>
        </is>
      </c>
      <c r="B6" s="4" t="inlineStr">
        <is>
          <t>Устойчивый тренд: спрос на биоразлагаемую, гипоаллергенную химию с безопасным составом, без фосфатов. Локальные и эко-бренды теснят международный премиум — это прямо ваша поляна.</t>
        </is>
      </c>
    </row>
    <row r="7" ht="46" customHeight="1">
      <c r="A7" s="11" t="inlineStr">
        <is>
          <t>Импортозамещение</t>
        </is>
      </c>
      <c r="B7" s="4" t="inlineStr">
        <is>
          <t>Самообеспеченность РФ ~96%. Контрактное производство и СТМ растут — возможность для B2B/частных марок.</t>
        </is>
      </c>
    </row>
    <row r="8" ht="46" customHeight="1">
      <c r="A8" s="11" t="inlineStr">
        <is>
          <t>Запахи: велнес-ароматы</t>
        </is>
      </c>
      <c r="B8" s="4" t="inlineStr">
        <is>
          <t>Лаванда, эвкалипт — «уборка как забота о себе». Лидеры рынка (Clorox/Lysol) запускают лавандовые линейки.</t>
        </is>
      </c>
    </row>
    <row r="9" ht="46" customHeight="1">
      <c r="A9" s="11" t="inlineStr">
        <is>
          <t>Запахи: морские и природные</t>
        </is>
      </c>
      <c r="B9" s="4" t="inlineStr">
        <is>
          <t>Водные/морские «свежесть океана», травяные эфирные масла — заходят эко-аудитории (аутентичность, простота).</t>
        </is>
      </c>
    </row>
    <row r="10" ht="46" customHeight="1">
      <c r="A10" s="11" t="inlineStr">
        <is>
          <t>Запахи: гурманские и премиум</t>
        </is>
      </c>
      <c r="B10" s="4" t="inlineStr">
        <is>
          <t>Ваниль, карамель, «сладкая выпечка» в чистящих; премиальные парфюмерные аккорды (флёрдоранж, мускус) — апселл.</t>
        </is>
      </c>
    </row>
    <row r="11" ht="46" customHeight="1">
      <c r="A11" s="11" t="inlineStr">
        <is>
          <t>Запахи: технологии стойкости</t>
        </is>
      </c>
      <c r="B11" s="4" t="inlineStr">
        <is>
          <t>Микрокапсулы/инкапсуляция аромата (стойкость) — категория растёт ~16% CAGR. Заявка «долго пахнет» хорошо продаёт.</t>
        </is>
      </c>
    </row>
    <row r="12" ht="46" customHeight="1">
      <c r="A12" s="11" t="inlineStr">
        <is>
          <t>Сегмент «без запаха»</t>
        </is>
      </c>
      <c r="B12" s="4" t="inlineStr">
        <is>
          <t>Стабильный спрос: для аллергиков, детского, чувствительной кожи. Держать отдельным SKU.</t>
        </is>
      </c>
    </row>
    <row r="13" ht="46" customHeight="1">
      <c r="A13" s="11" t="inlineStr">
        <is>
          <t>Регуляторика 2025+</t>
        </is>
      </c>
      <c r="B13" s="4" t="inlineStr">
        <is>
          <t>Поэтапная обязательная цифровая маркировка бытовой химии и парфюмерно-косметической продукции — учесть в себестоимости и логистике.</t>
        </is>
      </c>
    </row>
    <row r="15">
      <c r="A15" s="12" t="inlineStr">
        <is>
          <t>Источники</t>
        </is>
      </c>
    </row>
    <row r="16">
      <c r="A16" s="13" t="inlineStr">
        <is>
          <t>• ChemiCos — Рынок бытовой химии 2025–2026: chemicos.ru/ru/press/news/2025-2026</t>
        </is>
      </c>
    </row>
    <row r="17">
      <c r="A17" s="13" t="inlineStr">
        <is>
          <t>• vc.ru — Российский рынок бытовой химии: тренды и рост до 2030</t>
        </is>
      </c>
    </row>
    <row r="18">
      <c r="A18" s="13" t="inlineStr">
        <is>
          <t>• РБК Компании — FMCG на маркетплейсах: кто растёт быстрее в бытовой химии</t>
        </is>
      </c>
    </row>
    <row r="19">
      <c r="A19" s="13" t="inlineStr">
        <is>
          <t>• GuruSeller — Wildberries и Ozon в 2025</t>
        </is>
      </c>
    </row>
    <row r="20">
      <c r="A20" s="13" t="inlineStr">
        <is>
          <t>• NielsenIQ (через обзоры) — динамика онлайн-продаж стирки/уборки</t>
        </is>
      </c>
    </row>
    <row r="21">
      <c r="A21" s="13" t="inlineStr">
        <is>
          <t>• Happi / Perfumer&amp;Flavorist / Phoenix FF — home care fragrance trends 2025–2026</t>
        </is>
      </c>
    </row>
    <row r="22">
      <c r="A22" s="13" t="inlineStr">
        <is>
          <t>• Personal Care Insights — global home care fragrance trends</t>
        </is>
      </c>
    </row>
  </sheetData>
  <mergeCells count="7">
    <mergeCell ref="A20:B20"/>
    <mergeCell ref="A21:B21"/>
    <mergeCell ref="A16:B16"/>
    <mergeCell ref="A19:B19"/>
    <mergeCell ref="A17:B17"/>
    <mergeCell ref="A18:B1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2026-05-25T13:07:17Z</dcterms:created>
  <dcterms:modified xsi:type="dcterms:W3CDTF">2026-05-25T13:07:18Z</dcterms:modified>
</cp:coreProperties>
</file>